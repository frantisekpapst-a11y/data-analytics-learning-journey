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B3AF9FEE-AB96-48DF-96A5-94F1A92F8078}" xr6:coauthVersionLast="47" xr6:coauthVersionMax="47" xr10:uidLastSave="{00000000-0000-0000-0000-000000000000}"/>
  <bookViews>
    <workbookView xWindow="-108" yWindow="-108" windowWidth="23256" windowHeight="13896" xr2:uid="{9531E346-113B-4CC2-AA00-72AD8E6C2E58}"/>
  </bookViews>
  <sheets>
    <sheet name="Summary" sheetId="1" r:id="rId1"/>
    <sheet name="ecommerce_sales_2025" sheetId="3" r:id="rId2"/>
    <sheet name="ecommerce_customers_2025" sheetId="2" r:id="rId3"/>
  </sheets>
  <definedNames>
    <definedName name="ExternalData_1" localSheetId="2" hidden="1">ecommerce_customers_2025!$A$1:$I$7</definedName>
    <definedName name="ExternalData_2" localSheetId="1" hidden="1">ecommerce_sales_2025!$A$1:$L$8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M2" i="3"/>
  <c r="M3" i="3"/>
  <c r="M4" i="3"/>
  <c r="M5" i="3"/>
  <c r="M6" i="3"/>
  <c r="M7" i="3"/>
  <c r="M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A9E5A-A9F5-4AB8-9B27-28CAAB3829F4}" keepAlive="1" name="Dotaz – ecommerce_customers_2025" description="Připojení k dotazu produktu ecommerce_customers_2025 v sešitě" type="5" refreshedVersion="8" background="1" saveData="1">
    <dbPr connection="Provider=Microsoft.Mashup.OleDb.1;Data Source=$Workbook$;Location=ecommerce_customers_2025;Extended Properties=&quot;&quot;" command="SELECT * FROM [ecommerce_customers_2025]"/>
  </connection>
  <connection id="2" xr16:uid="{EC0DA545-F580-4F78-AAC9-199487F06F13}" keepAlive="1" name="Dotaz – ecommerce_sales_2025" description="Připojení k dotazu produktu ecommerce_sales_2025 v sešitě" type="5" refreshedVersion="8" background="1" saveData="1">
    <dbPr connection="Provider=Microsoft.Mashup.OleDb.1;Data Source=$Workbook$;Location=ecommerce_sales_2025;Extended Properties=&quot;&quot;" command="SELECT * FROM [ecommerce_sales_2025]"/>
  </connection>
</connections>
</file>

<file path=xl/sharedStrings.xml><?xml version="1.0" encoding="utf-8"?>
<sst xmlns="http://schemas.openxmlformats.org/spreadsheetml/2006/main" count="112" uniqueCount="62">
  <si>
    <t>customer_id</t>
  </si>
  <si>
    <t>name</t>
  </si>
  <si>
    <t>region</t>
  </si>
  <si>
    <t>email</t>
  </si>
  <si>
    <t>age</t>
  </si>
  <si>
    <t>registration_date</t>
  </si>
  <si>
    <t>suspicious_flag</t>
  </si>
  <si>
    <t>email_status</t>
  </si>
  <si>
    <t>age_status</t>
  </si>
  <si>
    <t>Jan Novak</t>
  </si>
  <si>
    <t>Praha</t>
  </si>
  <si>
    <t>jan@email.cz</t>
  </si>
  <si>
    <t>NO</t>
  </si>
  <si>
    <t xml:space="preserve">  valid</t>
  </si>
  <si>
    <t>valid</t>
  </si>
  <si>
    <t>Jana Svobodova</t>
  </si>
  <si>
    <t>Brno</t>
  </si>
  <si>
    <t>jana@email.cz</t>
  </si>
  <si>
    <t>Petr Sedlacek</t>
  </si>
  <si>
    <t>YES</t>
  </si>
  <si>
    <t>missing</t>
  </si>
  <si>
    <t>suspicious</t>
  </si>
  <si>
    <t>Eva Mala</t>
  </si>
  <si>
    <t>Ostrava</t>
  </si>
  <si>
    <t>eva@email.cz</t>
  </si>
  <si>
    <t>invalid_or_missing</t>
  </si>
  <si>
    <t>Tomas Black</t>
  </si>
  <si>
    <t>Bratislava</t>
  </si>
  <si>
    <t>tom@email.com</t>
  </si>
  <si>
    <t>Marie Kralova</t>
  </si>
  <si>
    <t>Plzeň</t>
  </si>
  <si>
    <t>order_id</t>
  </si>
  <si>
    <t>product</t>
  </si>
  <si>
    <t>revenue</t>
  </si>
  <si>
    <t>cost</t>
  </si>
  <si>
    <t>margin</t>
  </si>
  <si>
    <t>margin_pct</t>
  </si>
  <si>
    <t>suspicious_order</t>
  </si>
  <si>
    <t>Smartwatch</t>
  </si>
  <si>
    <t>Headphones</t>
  </si>
  <si>
    <t>TV</t>
  </si>
  <si>
    <t>Notebook</t>
  </si>
  <si>
    <t>revenue_normalized</t>
  </si>
  <si>
    <t>revenue_standardized</t>
  </si>
  <si>
    <t>Závěry:</t>
  </si>
  <si>
    <t>Notebook je suspicious objednávka (výrazně větší - outlier, to může být VIP, ale třeba také chyba)</t>
  </si>
  <si>
    <t>Smartwatch má vysokou tržbu i marži</t>
  </si>
  <si>
    <t>TV má vysokou tržbu, ale nižší marže</t>
  </si>
  <si>
    <t>Sales</t>
  </si>
  <si>
    <t>Normalizace</t>
  </si>
  <si>
    <t>NTB 1,0</t>
  </si>
  <si>
    <t>Headphones 0,0</t>
  </si>
  <si>
    <t>NTB je outlier (2,1, potvrzuje se podezřelost)</t>
  </si>
  <si>
    <t>Standardizace (z-skóre)</t>
  </si>
  <si>
    <t>Smartwatches a headphones kehce pod průměrem, ale v normě</t>
  </si>
  <si>
    <t>TV lehce nad průměrem (0,4), ale v normě</t>
  </si>
  <si>
    <t>Zákazníci</t>
  </si>
  <si>
    <t>Jan Novak duplicitní zákazník</t>
  </si>
  <si>
    <t>Petr Sedlacek chybějící email a suspicious věk</t>
  </si>
  <si>
    <t>Marie Kralova chybějící email</t>
  </si>
  <si>
    <t>V původním datasetu chyby následně upraveno přes Power Query</t>
  </si>
  <si>
    <t>Eva Mala záporný věk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</si>
</sst>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0.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8" fontId="0" fillId="0" borderId="0" xfId="0" applyNumberFormat="1"/>
    <xf numFmtId="170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ální" xfId="0" builtinId="0"/>
  </cellStyles>
  <dxfs count="9">
    <dxf>
      <numFmt numFmtId="170" formatCode="0.0"/>
    </dxf>
    <dxf>
      <numFmt numFmtId="168" formatCode="0.000"/>
    </dxf>
    <dxf>
      <numFmt numFmtId="14" formatCode="0.0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81323D-23A1-41CF-97A2-634FCE63BED4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order_id" tableColumnId="1"/>
      <queryTableField id="2" name="customer_id" tableColumnId="2"/>
      <queryTableField id="3" name="product" tableColumnId="3"/>
      <queryTableField id="4" name="revenue" tableColumnId="4"/>
      <queryTableField id="5" name="cost" tableColumnId="5"/>
      <queryTableField id="6" name="region" tableColumnId="6"/>
      <queryTableField id="7" name="margin" tableColumnId="7"/>
      <queryTableField id="8" name="margin_pct" tableColumnId="8"/>
      <queryTableField id="9" name="suspicious_order" tableColumnId="9"/>
      <queryTableField id="10" name="name" tableColumnId="10"/>
      <queryTableField id="11" name="email" tableColumnId="11"/>
      <queryTableField id="12" name="age_status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1E862-8027-49A3-889A-8E2446F802FE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name" tableColumnId="2"/>
      <queryTableField id="3" name="region" tableColumnId="3"/>
      <queryTableField id="4" name="email" tableColumnId="4"/>
      <queryTableField id="5" name="age" tableColumnId="5"/>
      <queryTableField id="6" name="registration_date" tableColumnId="6"/>
      <queryTableField id="7" name="suspicious_flag" tableColumnId="7"/>
      <queryTableField id="8" name="email_status" tableColumnId="8"/>
      <queryTableField id="9" name="age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B174C-4A9C-44AF-8BA6-D73800EE0980}" name="ecommerce_sales_2025" displayName="ecommerce_sales_2025" ref="A1:N8" tableType="queryTable" totalsRowShown="0">
  <autoFilter ref="A1:N8" xr:uid="{797B174C-4A9C-44AF-8BA6-D73800EE0980}"/>
  <tableColumns count="14">
    <tableColumn id="1" xr3:uid="{E010E019-0CE6-4C89-884F-C9D750FBC075}" uniqueName="1" name="order_id" queryTableFieldId="1"/>
    <tableColumn id="2" xr3:uid="{445C2E7E-29D2-40B6-B812-17C3D4FFA245}" uniqueName="2" name="customer_id" queryTableFieldId="2"/>
    <tableColumn id="3" xr3:uid="{48A00D9D-903B-4589-A660-28F15E2A044F}" uniqueName="3" name="product" queryTableFieldId="3"/>
    <tableColumn id="4" xr3:uid="{E1369FBE-8851-4CD4-B0BB-0D71671C161B}" uniqueName="4" name="revenue" queryTableFieldId="4"/>
    <tableColumn id="5" xr3:uid="{788EBF73-7125-4049-A8E0-DE12002DFF86}" uniqueName="5" name="cost" queryTableFieldId="5"/>
    <tableColumn id="6" xr3:uid="{AC8BE0DD-B556-41D7-A16C-C4CB00DA9617}" uniqueName="6" name="region" queryTableFieldId="6"/>
    <tableColumn id="7" xr3:uid="{229FF68E-F207-4F08-BACF-2CDCE39D3566}" uniqueName="7" name="margin" queryTableFieldId="7"/>
    <tableColumn id="8" xr3:uid="{6832C28E-49E4-4149-8F59-037F6150782C}" uniqueName="8" name="margin_pct" queryTableFieldId="8" dataDxfId="2"/>
    <tableColumn id="9" xr3:uid="{1A7CA7A7-5B50-4C50-B9C9-EE4C15B55226}" uniqueName="9" name="suspicious_order" queryTableFieldId="9"/>
    <tableColumn id="10" xr3:uid="{991BE531-48CF-42B5-BD61-06D7B6609A85}" uniqueName="10" name="name" queryTableFieldId="10" dataDxfId="8"/>
    <tableColumn id="11" xr3:uid="{3A029D6D-EE10-48FF-96EE-31496033D349}" uniqueName="11" name="email" queryTableFieldId="11" dataDxfId="7"/>
    <tableColumn id="12" xr3:uid="{A31F0CBE-34E6-4A78-9E26-37E8D4F75106}" uniqueName="12" name="age_status" queryTableFieldId="12"/>
    <tableColumn id="13" xr3:uid="{CD5BFA1F-9601-4A98-81D3-8EF0BAF2F5B0}" uniqueName="13" name="revenue_normalized" queryTableFieldId="13" dataDxfId="1">
      <calculatedColumnFormula>(ecommerce_sales_2025[[#This Row],[revenue]]-MIN(ecommerce_sales_2025[revenue]))/(MAX(ecommerce_sales_2025[revenue])-MIN(ecommerce_sales_2025[revenue]))</calculatedColumnFormula>
    </tableColumn>
    <tableColumn id="14" xr3:uid="{15BBED30-7015-4A62-B24D-114B77E3BEED}" uniqueName="14" name="revenue_standardized" queryTableFieldId="14" dataDxfId="0">
      <calculatedColumnFormula>(ecommerce_sales_2025[[#This Row],[revenue]]-AVERAGE(ecommerce_sales_2025[revenue]))/STDEV(ecommerce_sales_2025[revenue])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CD6D5-E732-4E28-9A54-BE1792046774}" name="ecommerce_customers_2025" displayName="ecommerce_customers_2025" ref="A1:I7" tableType="queryTable" totalsRowShown="0">
  <autoFilter ref="A1:I7" xr:uid="{94CCD6D5-E732-4E28-9A54-BE1792046774}"/>
  <tableColumns count="9">
    <tableColumn id="1" xr3:uid="{14B79B4F-F0E8-4B72-BA4B-D9455532474C}" uniqueName="1" name="customer_id" queryTableFieldId="1"/>
    <tableColumn id="2" xr3:uid="{DD2923D1-B323-4063-9B79-7E1D5718124D}" uniqueName="2" name="name" queryTableFieldId="2" dataDxfId="6"/>
    <tableColumn id="3" xr3:uid="{EE2208B3-970A-4CD9-94D1-BFEC918C018C}" uniqueName="3" name="region" queryTableFieldId="3" dataDxfId="5"/>
    <tableColumn id="4" xr3:uid="{2A49A9B7-6CD2-4E2E-AAC7-BDCB34B303DE}" uniqueName="4" name="email" queryTableFieldId="4" dataDxfId="4"/>
    <tableColumn id="5" xr3:uid="{236EF30C-E1BB-4083-AB63-948FDF180202}" uniqueName="5" name="age" queryTableFieldId="5"/>
    <tableColumn id="6" xr3:uid="{9288D874-A9D3-4A20-AD1B-D2B8FAA840F0}" uniqueName="6" name="registration_date" queryTableFieldId="6" dataDxfId="3"/>
    <tableColumn id="7" xr3:uid="{EB0904BF-13A9-4436-BDD0-E9B0201674E3}" uniqueName="7" name="suspicious_flag" queryTableFieldId="7"/>
    <tableColumn id="8" xr3:uid="{3171D2A4-EB96-428B-A933-F308E54B90D2}" uniqueName="8" name="email_status" queryTableFieldId="8"/>
    <tableColumn id="9" xr3:uid="{73C4A329-89C7-427E-A7A2-9B5E83AFD78B}" uniqueName="9" name="age_statu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1BFE-3260-4621-A9A6-B139C00DAA9F}">
  <dimension ref="A1:A22"/>
  <sheetViews>
    <sheetView tabSelected="1" workbookViewId="0"/>
  </sheetViews>
  <sheetFormatPr defaultRowHeight="14.4" x14ac:dyDescent="0.3"/>
  <sheetData>
    <row r="1" spans="1:1" x14ac:dyDescent="0.3">
      <c r="A1" s="6" t="s">
        <v>44</v>
      </c>
    </row>
    <row r="3" spans="1:1" x14ac:dyDescent="0.3">
      <c r="A3" s="5" t="s">
        <v>48</v>
      </c>
    </row>
    <row r="4" spans="1:1" x14ac:dyDescent="0.3">
      <c r="A4" t="s">
        <v>47</v>
      </c>
    </row>
    <row r="5" spans="1:1" x14ac:dyDescent="0.3">
      <c r="A5" t="s">
        <v>45</v>
      </c>
    </row>
    <row r="6" spans="1:1" x14ac:dyDescent="0.3">
      <c r="A6" t="s">
        <v>46</v>
      </c>
    </row>
    <row r="8" spans="1:1" x14ac:dyDescent="0.3">
      <c r="A8" s="5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2" spans="1:1" x14ac:dyDescent="0.3">
      <c r="A12" s="5" t="s">
        <v>53</v>
      </c>
    </row>
    <row r="13" spans="1:1" x14ac:dyDescent="0.3">
      <c r="A13" t="s">
        <v>52</v>
      </c>
    </row>
    <row r="14" spans="1:1" x14ac:dyDescent="0.3">
      <c r="A14" t="s">
        <v>55</v>
      </c>
    </row>
    <row r="15" spans="1:1" x14ac:dyDescent="0.3">
      <c r="A15" t="s">
        <v>54</v>
      </c>
    </row>
    <row r="17" spans="1:1" x14ac:dyDescent="0.3">
      <c r="A17" s="5" t="s">
        <v>56</v>
      </c>
    </row>
    <row r="18" spans="1:1" x14ac:dyDescent="0.3">
      <c r="A18" t="s">
        <v>60</v>
      </c>
    </row>
    <row r="19" spans="1:1" x14ac:dyDescent="0.3">
      <c r="A19" t="s">
        <v>57</v>
      </c>
    </row>
    <row r="20" spans="1:1" x14ac:dyDescent="0.3">
      <c r="A20" t="s">
        <v>58</v>
      </c>
    </row>
    <row r="21" spans="1:1" x14ac:dyDescent="0.3">
      <c r="A21" t="s">
        <v>61</v>
      </c>
    </row>
    <row r="22" spans="1:1" x14ac:dyDescent="0.3">
      <c r="A22" t="s">
        <v>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6F9-21E3-4B38-A789-CFAC447EFC29}">
  <dimension ref="A1:N8"/>
  <sheetViews>
    <sheetView workbookViewId="0">
      <selection activeCell="A4" sqref="A4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1.21875" bestFit="1" customWidth="1"/>
    <col min="4" max="4" width="9.77734375" bestFit="1" customWidth="1"/>
    <col min="5" max="5" width="6.77734375" bestFit="1" customWidth="1"/>
    <col min="7" max="7" width="9" bestFit="1" customWidth="1"/>
    <col min="8" max="8" width="12.5546875" style="4" bestFit="1" customWidth="1"/>
    <col min="9" max="9" width="17.44140625" bestFit="1" customWidth="1"/>
    <col min="10" max="10" width="13.6640625" bestFit="1" customWidth="1"/>
    <col min="11" max="11" width="14.44140625" bestFit="1" customWidth="1"/>
    <col min="12" max="12" width="15.5546875" bestFit="1" customWidth="1"/>
    <col min="13" max="13" width="20.21875" style="2" bestFit="1" customWidth="1"/>
    <col min="14" max="14" width="21.77734375" style="3" bestFit="1" customWidth="1"/>
  </cols>
  <sheetData>
    <row r="1" spans="1:14" x14ac:dyDescent="0.3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2</v>
      </c>
      <c r="G1" t="s">
        <v>35</v>
      </c>
      <c r="H1" s="4" t="s">
        <v>36</v>
      </c>
      <c r="I1" t="s">
        <v>37</v>
      </c>
      <c r="J1" t="s">
        <v>1</v>
      </c>
      <c r="K1" t="s">
        <v>3</v>
      </c>
      <c r="L1" t="s">
        <v>8</v>
      </c>
      <c r="M1" s="2" t="s">
        <v>42</v>
      </c>
      <c r="N1" s="3" t="s">
        <v>43</v>
      </c>
    </row>
    <row r="2" spans="1:14" x14ac:dyDescent="0.3">
      <c r="A2">
        <v>5001</v>
      </c>
      <c r="B2">
        <v>1001</v>
      </c>
      <c r="C2" t="s">
        <v>38</v>
      </c>
      <c r="D2">
        <v>8990</v>
      </c>
      <c r="E2">
        <v>5000</v>
      </c>
      <c r="F2" t="s">
        <v>10</v>
      </c>
      <c r="G2">
        <v>3990</v>
      </c>
      <c r="H2" s="4">
        <v>0.44382647385984397</v>
      </c>
      <c r="I2" t="s">
        <v>12</v>
      </c>
      <c r="J2" t="s">
        <v>9</v>
      </c>
      <c r="K2" t="s">
        <v>11</v>
      </c>
      <c r="L2" t="s">
        <v>14</v>
      </c>
      <c r="M2" s="2">
        <f>(ecommerce_sales_2025[[#This Row],[revenue]]-MIN(ecommerce_sales_2025[revenue]))/(MAX(ecommerce_sales_2025[revenue])-MIN(ecommerce_sales_2025[revenue]))</f>
        <v>4.9176297024834031E-2</v>
      </c>
      <c r="N2" s="3">
        <f>(ecommerce_sales_2025[[#This Row],[revenue]]-AVERAGE(ecommerce_sales_2025[revenue]))/STDEV(ecommerce_sales_2025[revenue])</f>
        <v>-0.45926686946673201</v>
      </c>
    </row>
    <row r="3" spans="1:14" x14ac:dyDescent="0.3">
      <c r="A3">
        <v>5002</v>
      </c>
      <c r="B3">
        <v>1002</v>
      </c>
      <c r="C3" t="s">
        <v>39</v>
      </c>
      <c r="D3">
        <v>2990</v>
      </c>
      <c r="E3">
        <v>1800</v>
      </c>
      <c r="F3" t="s">
        <v>16</v>
      </c>
      <c r="G3">
        <v>1190</v>
      </c>
      <c r="H3" s="4">
        <v>0.39799331103678898</v>
      </c>
      <c r="I3" t="s">
        <v>12</v>
      </c>
      <c r="J3" t="s">
        <v>15</v>
      </c>
      <c r="K3" t="s">
        <v>17</v>
      </c>
      <c r="L3" t="s">
        <v>14</v>
      </c>
      <c r="M3" s="2">
        <f>(ecommerce_sales_2025[[#This Row],[revenue]]-MIN(ecommerce_sales_2025[revenue]))/(MAX(ecommerce_sales_2025[revenue])-MIN(ecommerce_sales_2025[revenue]))</f>
        <v>0</v>
      </c>
      <c r="N3" s="3">
        <f>(ecommerce_sales_2025[[#This Row],[revenue]]-AVERAGE(ecommerce_sales_2025[revenue]))/STDEV(ecommerce_sales_2025[revenue])</f>
        <v>-0.59228671994326976</v>
      </c>
    </row>
    <row r="4" spans="1:14" x14ac:dyDescent="0.3">
      <c r="A4">
        <v>5003</v>
      </c>
      <c r="B4">
        <v>1003</v>
      </c>
      <c r="C4" t="s">
        <v>40</v>
      </c>
      <c r="D4">
        <v>49990</v>
      </c>
      <c r="E4">
        <v>41000</v>
      </c>
      <c r="F4" t="s">
        <v>10</v>
      </c>
      <c r="G4">
        <v>8990</v>
      </c>
      <c r="H4" s="4">
        <v>0.179835967193439</v>
      </c>
      <c r="I4" t="s">
        <v>12</v>
      </c>
      <c r="J4" t="s">
        <v>18</v>
      </c>
      <c r="L4" t="s">
        <v>21</v>
      </c>
      <c r="M4" s="2">
        <f>(ecommerce_sales_2025[[#This Row],[revenue]]-MIN(ecommerce_sales_2025[revenue]))/(MAX(ecommerce_sales_2025[revenue])-MIN(ecommerce_sales_2025[revenue]))</f>
        <v>0.38521432669453326</v>
      </c>
      <c r="N4" s="3">
        <f>(ecommerce_sales_2025[[#This Row],[revenue]]-AVERAGE(ecommerce_sales_2025[revenue]))/STDEV(ecommerce_sales_2025[revenue])</f>
        <v>0.44970210878960948</v>
      </c>
    </row>
    <row r="5" spans="1:14" x14ac:dyDescent="0.3">
      <c r="A5">
        <v>5004</v>
      </c>
      <c r="B5">
        <v>1004</v>
      </c>
      <c r="C5" t="s">
        <v>38</v>
      </c>
      <c r="D5">
        <v>8990</v>
      </c>
      <c r="E5">
        <v>5000</v>
      </c>
      <c r="F5" t="s">
        <v>23</v>
      </c>
      <c r="G5">
        <v>3990</v>
      </c>
      <c r="H5" s="4">
        <v>0.44382647385984397</v>
      </c>
      <c r="I5" t="s">
        <v>12</v>
      </c>
      <c r="J5" t="s">
        <v>22</v>
      </c>
      <c r="K5" t="s">
        <v>24</v>
      </c>
      <c r="L5" t="s">
        <v>25</v>
      </c>
      <c r="M5" s="2">
        <f>(ecommerce_sales_2025[[#This Row],[revenue]]-MIN(ecommerce_sales_2025[revenue]))/(MAX(ecommerce_sales_2025[revenue])-MIN(ecommerce_sales_2025[revenue]))</f>
        <v>4.9176297024834031E-2</v>
      </c>
      <c r="N5" s="3">
        <f>(ecommerce_sales_2025[[#This Row],[revenue]]-AVERAGE(ecommerce_sales_2025[revenue]))/STDEV(ecommerce_sales_2025[revenue])</f>
        <v>-0.45926686946673201</v>
      </c>
    </row>
    <row r="6" spans="1:14" x14ac:dyDescent="0.3">
      <c r="A6">
        <v>5005</v>
      </c>
      <c r="B6">
        <v>1005</v>
      </c>
      <c r="C6" t="s">
        <v>38</v>
      </c>
      <c r="D6">
        <v>8990</v>
      </c>
      <c r="E6">
        <v>5000</v>
      </c>
      <c r="F6" t="s">
        <v>10</v>
      </c>
      <c r="G6">
        <v>3990</v>
      </c>
      <c r="H6" s="4">
        <v>0.44382647385984397</v>
      </c>
      <c r="I6" t="s">
        <v>12</v>
      </c>
      <c r="M6" s="2">
        <f>(ecommerce_sales_2025[[#This Row],[revenue]]-MIN(ecommerce_sales_2025[revenue]))/(MAX(ecommerce_sales_2025[revenue])-MIN(ecommerce_sales_2025[revenue]))</f>
        <v>4.9176297024834031E-2</v>
      </c>
      <c r="N6" s="3">
        <f>(ecommerce_sales_2025[[#This Row],[revenue]]-AVERAGE(ecommerce_sales_2025[revenue]))/STDEV(ecommerce_sales_2025[revenue])</f>
        <v>-0.45926686946673201</v>
      </c>
    </row>
    <row r="7" spans="1:14" x14ac:dyDescent="0.3">
      <c r="A7">
        <v>5006</v>
      </c>
      <c r="B7">
        <v>1006</v>
      </c>
      <c r="C7" t="s">
        <v>41</v>
      </c>
      <c r="D7">
        <v>125000</v>
      </c>
      <c r="E7">
        <v>70000</v>
      </c>
      <c r="F7" t="s">
        <v>27</v>
      </c>
      <c r="G7">
        <v>55000</v>
      </c>
      <c r="H7" s="4">
        <v>0.44</v>
      </c>
      <c r="I7" t="s">
        <v>19</v>
      </c>
      <c r="J7" t="s">
        <v>26</v>
      </c>
      <c r="K7" t="s">
        <v>28</v>
      </c>
      <c r="L7" t="s">
        <v>14</v>
      </c>
      <c r="M7" s="2">
        <f>(ecommerce_sales_2025[[#This Row],[revenue]]-MIN(ecommerce_sales_2025[revenue]))/(MAX(ecommerce_sales_2025[revenue])-MIN(ecommerce_sales_2025[revenue]))</f>
        <v>1</v>
      </c>
      <c r="N7" s="3">
        <f>(ecommerce_sales_2025[[#This Row],[revenue]]-AVERAGE(ecommerce_sales_2025[revenue]))/STDEV(ecommerce_sales_2025[revenue])</f>
        <v>2.1126719394971261</v>
      </c>
    </row>
    <row r="8" spans="1:14" x14ac:dyDescent="0.3">
      <c r="A8">
        <v>5007</v>
      </c>
      <c r="B8">
        <v>1007</v>
      </c>
      <c r="C8" t="s">
        <v>39</v>
      </c>
      <c r="D8">
        <v>2990</v>
      </c>
      <c r="E8">
        <v>1800</v>
      </c>
      <c r="F8" t="s">
        <v>30</v>
      </c>
      <c r="G8">
        <v>1190</v>
      </c>
      <c r="H8" s="4">
        <v>0.39799331103678898</v>
      </c>
      <c r="I8" t="s">
        <v>12</v>
      </c>
      <c r="J8" t="s">
        <v>29</v>
      </c>
      <c r="L8" t="s">
        <v>14</v>
      </c>
      <c r="M8" s="2">
        <f>(ecommerce_sales_2025[[#This Row],[revenue]]-MIN(ecommerce_sales_2025[revenue]))/(MAX(ecommerce_sales_2025[revenue])-MIN(ecommerce_sales_2025[revenue]))</f>
        <v>0</v>
      </c>
      <c r="N8" s="3">
        <f>(ecommerce_sales_2025[[#This Row],[revenue]]-AVERAGE(ecommerce_sales_2025[revenue]))/STDEV(ecommerce_sales_2025[revenue])</f>
        <v>-0.59228671994326976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EF7A-7805-4FA5-B41B-59E44CFC661E}">
  <dimension ref="A1:I7"/>
  <sheetViews>
    <sheetView workbookViewId="0">
      <selection activeCell="A4" sqref="A4"/>
    </sheetView>
  </sheetViews>
  <sheetFormatPr defaultRowHeight="14.4" x14ac:dyDescent="0.3"/>
  <cols>
    <col min="1" max="1" width="13.5546875" bestFit="1" customWidth="1"/>
    <col min="2" max="2" width="13.6640625" bestFit="1" customWidth="1"/>
    <col min="4" max="4" width="14.44140625" bestFit="1" customWidth="1"/>
    <col min="5" max="5" width="6.109375" bestFit="1" customWidth="1"/>
    <col min="6" max="6" width="17.44140625" bestFit="1" customWidth="1"/>
    <col min="7" max="7" width="16" bestFit="1" customWidth="1"/>
    <col min="8" max="8" width="13.8867187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>
        <v>34</v>
      </c>
      <c r="F2" s="1">
        <v>45662</v>
      </c>
      <c r="G2" t="s">
        <v>12</v>
      </c>
      <c r="H2" t="s">
        <v>13</v>
      </c>
      <c r="I2" t="s">
        <v>14</v>
      </c>
    </row>
    <row r="3" spans="1:9" x14ac:dyDescent="0.3">
      <c r="A3">
        <v>1002</v>
      </c>
      <c r="B3" t="s">
        <v>15</v>
      </c>
      <c r="C3" t="s">
        <v>16</v>
      </c>
      <c r="D3" t="s">
        <v>17</v>
      </c>
      <c r="E3">
        <v>29</v>
      </c>
      <c r="F3" s="1">
        <v>45662</v>
      </c>
      <c r="G3" t="s">
        <v>12</v>
      </c>
      <c r="H3" t="s">
        <v>13</v>
      </c>
      <c r="I3" t="s">
        <v>14</v>
      </c>
    </row>
    <row r="4" spans="1:9" x14ac:dyDescent="0.3">
      <c r="A4">
        <v>1003</v>
      </c>
      <c r="B4" t="s">
        <v>18</v>
      </c>
      <c r="C4" t="s">
        <v>10</v>
      </c>
      <c r="E4">
        <v>200</v>
      </c>
      <c r="F4" s="1">
        <v>45664</v>
      </c>
      <c r="G4" t="s">
        <v>19</v>
      </c>
      <c r="H4" t="s">
        <v>20</v>
      </c>
      <c r="I4" t="s">
        <v>21</v>
      </c>
    </row>
    <row r="5" spans="1:9" x14ac:dyDescent="0.3">
      <c r="A5">
        <v>1004</v>
      </c>
      <c r="B5" t="s">
        <v>22</v>
      </c>
      <c r="C5" t="s">
        <v>23</v>
      </c>
      <c r="D5" t="s">
        <v>24</v>
      </c>
      <c r="F5" s="1">
        <v>45664</v>
      </c>
      <c r="G5" t="s">
        <v>12</v>
      </c>
      <c r="H5" t="s">
        <v>13</v>
      </c>
      <c r="I5" t="s">
        <v>25</v>
      </c>
    </row>
    <row r="6" spans="1:9" x14ac:dyDescent="0.3">
      <c r="A6">
        <v>1006</v>
      </c>
      <c r="B6" t="s">
        <v>26</v>
      </c>
      <c r="C6" t="s">
        <v>27</v>
      </c>
      <c r="D6" t="s">
        <v>28</v>
      </c>
      <c r="E6">
        <v>41</v>
      </c>
      <c r="F6" s="1">
        <v>45665</v>
      </c>
      <c r="G6" t="s">
        <v>12</v>
      </c>
      <c r="H6" t="s">
        <v>13</v>
      </c>
      <c r="I6" t="s">
        <v>14</v>
      </c>
    </row>
    <row r="7" spans="1:9" x14ac:dyDescent="0.3">
      <c r="A7">
        <v>1007</v>
      </c>
      <c r="B7" t="s">
        <v>29</v>
      </c>
      <c r="C7" t="s">
        <v>30</v>
      </c>
      <c r="E7">
        <v>31</v>
      </c>
      <c r="F7" s="1">
        <v>45665</v>
      </c>
      <c r="G7" t="s">
        <v>12</v>
      </c>
      <c r="H7" t="s">
        <v>20</v>
      </c>
      <c r="I7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7F359-B145-40C6-96BC-6C1055EFB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Summary</vt:lpstr>
      <vt:lpstr>ecommerce_sales_2025</vt:lpstr>
      <vt:lpstr>ecommerce_customers_2025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2026-05-25T07:11:34Z</dcterms:created>
  <dcterms:modified xsi:type="dcterms:W3CDTF">2026-05-25T08:39:16Z</dcterms:modified>
</cp:coreProperties>
</file>