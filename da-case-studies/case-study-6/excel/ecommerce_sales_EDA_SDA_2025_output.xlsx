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\Desktop\"/>
    </mc:Choice>
  </mc:AlternateContent>
  <xr:revisionPtr revIDLastSave="0" documentId="13_ncr:1_{1BE651A2-AC05-4DC2-8FCC-CCD31383FFB3}" xr6:coauthVersionLast="47" xr6:coauthVersionMax="47" xr10:uidLastSave="{00000000-0000-0000-0000-000000000000}"/>
  <bookViews>
    <workbookView xWindow="-108" yWindow="-108" windowWidth="23256" windowHeight="13896" xr2:uid="{9531E346-113B-4CC2-AA00-72AD8E6C2E58}"/>
  </bookViews>
  <sheets>
    <sheet name="Summary" sheetId="1" r:id="rId1"/>
    <sheet name="SDA" sheetId="5" r:id="rId2"/>
    <sheet name="EDA" sheetId="4" r:id="rId3"/>
    <sheet name="ecommerce_sales_2025" sheetId="3" r:id="rId4"/>
  </sheets>
  <definedNames>
    <definedName name="ExternalData_2" localSheetId="3" hidden="1">ecommerce_sales_2025!$A$1:$L$8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5" l="1"/>
  <c r="A13" i="5"/>
  <c r="B10" i="5"/>
  <c r="A10" i="5"/>
  <c r="B2" i="5" a="1"/>
  <c r="B2" i="5" s="1"/>
  <c r="A2" i="5" a="1"/>
  <c r="A2" i="5" s="1"/>
  <c r="N2" i="3"/>
  <c r="N3" i="3"/>
  <c r="N4" i="3"/>
  <c r="N5" i="3"/>
  <c r="N6" i="3"/>
  <c r="N7" i="3"/>
  <c r="N8" i="3"/>
  <c r="M2" i="3"/>
  <c r="M3" i="3"/>
  <c r="M4" i="3"/>
  <c r="M5" i="3"/>
  <c r="M6" i="3"/>
  <c r="M7" i="3"/>
  <c r="M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3A9E5A-A9F5-4AB8-9B27-28CAAB3829F4}" keepAlive="1" name="Dotaz – ecommerce_customers_2025" description="Připojení k dotazu produktu ecommerce_customers_2025 v sešitě" type="5" refreshedVersion="8" background="1" saveData="1">
    <dbPr connection="Provider=Microsoft.Mashup.OleDb.1;Data Source=$Workbook$;Location=ecommerce_customers_2025;Extended Properties=&quot;&quot;" command="SELECT * FROM [ecommerce_customers_2025]"/>
  </connection>
  <connection id="2" xr16:uid="{EC0DA545-F580-4F78-AAC9-199487F06F13}" keepAlive="1" name="Dotaz – ecommerce_sales_2025" description="Připojení k dotazu produktu ecommerce_sales_2025 v sešitě" type="5" refreshedVersion="8" background="1" saveData="1">
    <dbPr connection="Provider=Microsoft.Mashup.OleDb.1;Data Source=$Workbook$;Location=ecommerce_sales_2025;Extended Properties=&quot;&quot;" command="SELECT * FROM [ecommerce_sales_202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<sst xmlns="http://schemas.openxmlformats.org/spreadsheetml/2006/main" count="88" uniqueCount="71">
  <si>
    <t>customer_id</t>
  </si>
  <si>
    <t>name</t>
  </si>
  <si>
    <t>region</t>
  </si>
  <si>
    <t>email</t>
  </si>
  <si>
    <t>age_status</t>
  </si>
  <si>
    <t>Jan Novak</t>
  </si>
  <si>
    <t>Praha</t>
  </si>
  <si>
    <t>jan@email.cz</t>
  </si>
  <si>
    <t>NO</t>
  </si>
  <si>
    <t>valid</t>
  </si>
  <si>
    <t>Jana Svobodova</t>
  </si>
  <si>
    <t>Brno</t>
  </si>
  <si>
    <t>jana@email.cz</t>
  </si>
  <si>
    <t>Petr Sedlacek</t>
  </si>
  <si>
    <t>YES</t>
  </si>
  <si>
    <t>suspicious</t>
  </si>
  <si>
    <t>Eva Mala</t>
  </si>
  <si>
    <t>Ostrava</t>
  </si>
  <si>
    <t>eva@email.cz</t>
  </si>
  <si>
    <t>invalid_or_missing</t>
  </si>
  <si>
    <t>Tomas Black</t>
  </si>
  <si>
    <t>Bratislava</t>
  </si>
  <si>
    <t>tom@email.com</t>
  </si>
  <si>
    <t>Marie Kralova</t>
  </si>
  <si>
    <t>Plzeň</t>
  </si>
  <si>
    <t>order_id</t>
  </si>
  <si>
    <t>product</t>
  </si>
  <si>
    <t>revenue</t>
  </si>
  <si>
    <t>cost</t>
  </si>
  <si>
    <t>margin</t>
  </si>
  <si>
    <t>margin_pct</t>
  </si>
  <si>
    <t>suspicious_order</t>
  </si>
  <si>
    <t>Smartwatch</t>
  </si>
  <si>
    <t>Headphones</t>
  </si>
  <si>
    <t>TV</t>
  </si>
  <si>
    <t>Notebook</t>
  </si>
  <si>
    <t>revenue_normalized</t>
  </si>
  <si>
    <t>revenue_standardized</t>
  </si>
  <si>
    <t>Popisky řádků</t>
  </si>
  <si>
    <t>Celkový součet</t>
  </si>
  <si>
    <t>Průměr z revenue</t>
  </si>
  <si>
    <t>Počet z order_id</t>
  </si>
  <si>
    <t>Notebook generuje výrazně vyšší tržbu, ale jedná se jen o jednu objednávku. Proto nelze dělat silné business závěry bez většího vzorku.</t>
  </si>
  <si>
    <t>Pozor - malý vzorek = vysoké riziko špatného závěru.</t>
  </si>
  <si>
    <t>A proto je nutné udělat SDA…</t>
  </si>
  <si>
    <t>NTB tržby</t>
  </si>
  <si>
    <t>Ostatní tržby</t>
  </si>
  <si>
    <t>Průměry</t>
  </si>
  <si>
    <t>Počty</t>
  </si>
  <si>
    <t>Dvouvýběrový t-test s nerovností rozptylů</t>
  </si>
  <si>
    <t>Soubor 1</t>
  </si>
  <si>
    <t>Soubor 2</t>
  </si>
  <si>
    <t>Stř. hodnota</t>
  </si>
  <si>
    <t>Rozptyl</t>
  </si>
  <si>
    <t>Pozorování</t>
  </si>
  <si>
    <t>Hyp. rozdíl stř. hodnot</t>
  </si>
  <si>
    <t>Rozdíl</t>
  </si>
  <si>
    <t>t Stat</t>
  </si>
  <si>
    <t>P(T&lt;=t) (1)</t>
  </si>
  <si>
    <t>t krit (1)</t>
  </si>
  <si>
    <t>P(T&lt;=t) (2)</t>
  </si>
  <si>
    <t>t krit (2)</t>
  </si>
  <si>
    <t>T-test nebylo možné korektně provést, protože skupina Notebook obsahovala pouze jednu hodnotu.</t>
  </si>
  <si>
    <t>Pro statistický test je potřeba více pozorování v obou skupinách, aby bylo možné vypočítat rozptyl a směrodatnou odchylku.</t>
  </si>
  <si>
    <t>Závěry - objednávka NTB za 125 k:</t>
  </si>
  <si>
    <t>Tato objednávka je statisticky odlišná od ostatních a je dobré jí dále ověřit.</t>
  </si>
  <si>
    <t>Může se totiž jednat o:</t>
  </si>
  <si>
    <t>VIP</t>
  </si>
  <si>
    <t>Fraud</t>
  </si>
  <si>
    <t>Chybu</t>
  </si>
  <si>
    <t>Validní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</si>
</sst>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3" fillId="0" borderId="0" xfId="0" applyFont="1"/>
  </cellXfs>
  <cellStyles count="1">
    <cellStyle name="Normální" xfId="0" builtinId="0"/>
  </cellStyles>
  <dxfs count="7">
    <dxf>
      <numFmt numFmtId="1" formatCode="0"/>
    </dxf>
    <dxf>
      <numFmt numFmtId="1" formatCode="0"/>
    </dxf>
    <dxf>
      <numFmt numFmtId="165" formatCode="0.0"/>
    </dxf>
    <dxf>
      <numFmt numFmtId="164" formatCode="0.000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tišek Papst" refreshedDate="46167.46686226852" createdVersion="8" refreshedVersion="8" minRefreshableVersion="3" recordCount="7" xr:uid="{5058A5F2-21E3-4077-A0CB-103D6486A276}">
  <cacheSource type="worksheet">
    <worksheetSource name="ecommerce_sales_2025"/>
  </cacheSource>
  <cacheFields count="14">
    <cacheField name="order_id" numFmtId="0">
      <sharedItems containsSemiMixedTypes="0" containsString="0" containsNumber="1" containsInteger="1" minValue="5001" maxValue="5007"/>
    </cacheField>
    <cacheField name="customer_id" numFmtId="0">
      <sharedItems containsSemiMixedTypes="0" containsString="0" containsNumber="1" containsInteger="1" minValue="1001" maxValue="1007"/>
    </cacheField>
    <cacheField name="product" numFmtId="0">
      <sharedItems count="4">
        <s v="Smartwatch"/>
        <s v="Headphones"/>
        <s v="TV"/>
        <s v="Notebook"/>
      </sharedItems>
    </cacheField>
    <cacheField name="revenue" numFmtId="0">
      <sharedItems containsSemiMixedTypes="0" containsString="0" containsNumber="1" containsInteger="1" minValue="2990" maxValue="125000"/>
    </cacheField>
    <cacheField name="cost" numFmtId="0">
      <sharedItems containsSemiMixedTypes="0" containsString="0" containsNumber="1" containsInteger="1" minValue="1800" maxValue="70000"/>
    </cacheField>
    <cacheField name="region" numFmtId="0">
      <sharedItems/>
    </cacheField>
    <cacheField name="margin" numFmtId="0">
      <sharedItems containsSemiMixedTypes="0" containsString="0" containsNumber="1" containsInteger="1" minValue="1190" maxValue="55000"/>
    </cacheField>
    <cacheField name="margin_pct" numFmtId="10">
      <sharedItems containsSemiMixedTypes="0" containsString="0" containsNumber="1" minValue="0.179835967193439" maxValue="0.44382647385984397"/>
    </cacheField>
    <cacheField name="suspicious_order" numFmtId="0">
      <sharedItems/>
    </cacheField>
    <cacheField name="name" numFmtId="0">
      <sharedItems containsBlank="1"/>
    </cacheField>
    <cacheField name="email" numFmtId="0">
      <sharedItems containsBlank="1"/>
    </cacheField>
    <cacheField name="age_status" numFmtId="0">
      <sharedItems containsBlank="1"/>
    </cacheField>
    <cacheField name="revenue_normalized" numFmtId="164">
      <sharedItems containsSemiMixedTypes="0" containsString="0" containsNumber="1" minValue="0" maxValue="1"/>
    </cacheField>
    <cacheField name="revenue_standardized" numFmtId="165">
      <sharedItems containsSemiMixedTypes="0" containsString="0" containsNumber="1" minValue="-0.59228671994326976" maxValue="2.11267193949712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5001"/>
    <n v="1001"/>
    <x v="0"/>
    <n v="8990"/>
    <n v="5000"/>
    <s v="Praha"/>
    <n v="3990"/>
    <n v="0.44382647385984397"/>
    <s v="NO"/>
    <s v="Jan Novak"/>
    <s v="jan@email.cz"/>
    <s v="valid"/>
    <n v="4.9176297024834031E-2"/>
    <n v="-0.45926686946673201"/>
  </r>
  <r>
    <n v="5002"/>
    <n v="1002"/>
    <x v="1"/>
    <n v="2990"/>
    <n v="1800"/>
    <s v="Brno"/>
    <n v="1190"/>
    <n v="0.39799331103678898"/>
    <s v="NO"/>
    <s v="Jana Svobodova"/>
    <s v="jana@email.cz"/>
    <s v="valid"/>
    <n v="0"/>
    <n v="-0.59228671994326976"/>
  </r>
  <r>
    <n v="5003"/>
    <n v="1003"/>
    <x v="2"/>
    <n v="49990"/>
    <n v="41000"/>
    <s v="Praha"/>
    <n v="8990"/>
    <n v="0.179835967193439"/>
    <s v="NO"/>
    <s v="Petr Sedlacek"/>
    <m/>
    <s v="suspicious"/>
    <n v="0.38521432669453326"/>
    <n v="0.44970210878960948"/>
  </r>
  <r>
    <n v="5004"/>
    <n v="1004"/>
    <x v="0"/>
    <n v="8990"/>
    <n v="5000"/>
    <s v="Ostrava"/>
    <n v="3990"/>
    <n v="0.44382647385984397"/>
    <s v="NO"/>
    <s v="Eva Mala"/>
    <s v="eva@email.cz"/>
    <s v="invalid_or_missing"/>
    <n v="4.9176297024834031E-2"/>
    <n v="-0.45926686946673201"/>
  </r>
  <r>
    <n v="5005"/>
    <n v="1005"/>
    <x v="0"/>
    <n v="8990"/>
    <n v="5000"/>
    <s v="Praha"/>
    <n v="3990"/>
    <n v="0.44382647385984397"/>
    <s v="NO"/>
    <m/>
    <m/>
    <m/>
    <n v="4.9176297024834031E-2"/>
    <n v="-0.45926686946673201"/>
  </r>
  <r>
    <n v="5006"/>
    <n v="1006"/>
    <x v="3"/>
    <n v="125000"/>
    <n v="70000"/>
    <s v="Bratislava"/>
    <n v="55000"/>
    <n v="0.44"/>
    <s v="YES"/>
    <s v="Tomas Black"/>
    <s v="tom@email.com"/>
    <s v="valid"/>
    <n v="1"/>
    <n v="2.1126719394971261"/>
  </r>
  <r>
    <n v="5007"/>
    <n v="1007"/>
    <x v="1"/>
    <n v="2990"/>
    <n v="1800"/>
    <s v="Plzeň"/>
    <n v="1190"/>
    <n v="0.39799331103678898"/>
    <s v="NO"/>
    <s v="Marie Kralova"/>
    <m/>
    <s v="valid"/>
    <n v="0"/>
    <n v="-0.592286719943269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926DB-69D1-4761-B5B4-C108DACD0DB7}" name="Kontingenční tabulka1" cacheId="3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C8" firstHeaderRow="0" firstDataRow="1" firstDataCol="1"/>
  <pivotFields count="14">
    <pivotField dataField="1"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numFmtId="164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růměr z revenue" fld="3" subtotal="average" baseField="0" baseItem="0" numFmtId="1"/>
    <dataField name="Počet z order_id" fld="0" subtotal="count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A81323D-23A1-41CF-97A2-634FCE63BED4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order_id" tableColumnId="1"/>
      <queryTableField id="2" name="customer_id" tableColumnId="2"/>
      <queryTableField id="3" name="product" tableColumnId="3"/>
      <queryTableField id="4" name="revenue" tableColumnId="4"/>
      <queryTableField id="5" name="cost" tableColumnId="5"/>
      <queryTableField id="6" name="region" tableColumnId="6"/>
      <queryTableField id="7" name="margin" tableColumnId="7"/>
      <queryTableField id="8" name="margin_pct" tableColumnId="8"/>
      <queryTableField id="9" name="suspicious_order" tableColumnId="9"/>
      <queryTableField id="10" name="name" tableColumnId="10"/>
      <queryTableField id="11" name="email" tableColumnId="11"/>
      <queryTableField id="12" name="age_status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7B174C-4A9C-44AF-8BA6-D73800EE0980}" name="ecommerce_sales_2025" displayName="ecommerce_sales_2025" ref="A1:N8" tableType="queryTable" totalsRowShown="0">
  <autoFilter ref="A1:N8" xr:uid="{797B174C-4A9C-44AF-8BA6-D73800EE0980}"/>
  <tableColumns count="14">
    <tableColumn id="1" xr3:uid="{E010E019-0CE6-4C89-884F-C9D750FBC075}" uniqueName="1" name="order_id" queryTableFieldId="1"/>
    <tableColumn id="2" xr3:uid="{445C2E7E-29D2-40B6-B812-17C3D4FFA245}" uniqueName="2" name="customer_id" queryTableFieldId="2"/>
    <tableColumn id="3" xr3:uid="{48A00D9D-903B-4589-A660-28F15E2A044F}" uniqueName="3" name="product" queryTableFieldId="3"/>
    <tableColumn id="4" xr3:uid="{E1369FBE-8851-4CD4-B0BB-0D71671C161B}" uniqueName="4" name="revenue" queryTableFieldId="4"/>
    <tableColumn id="5" xr3:uid="{788EBF73-7125-4049-A8E0-DE12002DFF86}" uniqueName="5" name="cost" queryTableFieldId="5"/>
    <tableColumn id="6" xr3:uid="{AC8BE0DD-B556-41D7-A16C-C4CB00DA9617}" uniqueName="6" name="region" queryTableFieldId="6"/>
    <tableColumn id="7" xr3:uid="{229FF68E-F207-4F08-BACF-2CDCE39D3566}" uniqueName="7" name="margin" queryTableFieldId="7"/>
    <tableColumn id="8" xr3:uid="{6832C28E-49E4-4149-8F59-037F6150782C}" uniqueName="8" name="margin_pct" queryTableFieldId="8" dataDxfId="6"/>
    <tableColumn id="9" xr3:uid="{1A7CA7A7-5B50-4C50-B9C9-EE4C15B55226}" uniqueName="9" name="suspicious_order" queryTableFieldId="9"/>
    <tableColumn id="10" xr3:uid="{991BE531-48CF-42B5-BD61-06D7B6609A85}" uniqueName="10" name="name" queryTableFieldId="10" dataDxfId="5"/>
    <tableColumn id="11" xr3:uid="{3A029D6D-EE10-48FF-96EE-31496033D349}" uniqueName="11" name="email" queryTableFieldId="11" dataDxfId="4"/>
    <tableColumn id="12" xr3:uid="{A31F0CBE-34E6-4A78-9E26-37E8D4F75106}" uniqueName="12" name="age_status" queryTableFieldId="12"/>
    <tableColumn id="13" xr3:uid="{CD5BFA1F-9601-4A98-81D3-8EF0BAF2F5B0}" uniqueName="13" name="revenue_normalized" queryTableFieldId="13" dataDxfId="3">
      <calculatedColumnFormula>(ecommerce_sales_2025[[#This Row],[revenue]]-MIN(ecommerce_sales_2025[revenue]))/(MAX(ecommerce_sales_2025[revenue])-MIN(ecommerce_sales_2025[revenue]))</calculatedColumnFormula>
    </tableColumn>
    <tableColumn id="14" xr3:uid="{15BBED30-7015-4A62-B24D-114B77E3BEED}" uniqueName="14" name="revenue_standardized" queryTableFieldId="14" dataDxfId="2">
      <calculatedColumnFormula>(ecommerce_sales_2025[[#This Row],[revenue]]-AVERAGE(ecommerce_sales_2025[revenue]))/STDEV(ecommerce_sales_2025[revenue])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1BFE-3260-4621-A9A6-B139C00DAA9F}">
  <dimension ref="A1:A13"/>
  <sheetViews>
    <sheetView tabSelected="1" zoomScale="130" zoomScaleNormal="130" workbookViewId="0">
      <selection activeCell="E3" sqref="E3"/>
    </sheetView>
  </sheetViews>
  <sheetFormatPr defaultRowHeight="14.4" x14ac:dyDescent="0.3"/>
  <sheetData>
    <row r="1" spans="1:1" x14ac:dyDescent="0.3">
      <c r="A1" s="5" t="s">
        <v>64</v>
      </c>
    </row>
    <row r="3" spans="1:1" x14ac:dyDescent="0.3">
      <c r="A3" t="s">
        <v>62</v>
      </c>
    </row>
    <row r="4" spans="1:1" x14ac:dyDescent="0.3">
      <c r="A4" s="13" t="s">
        <v>63</v>
      </c>
    </row>
    <row r="6" spans="1:1" x14ac:dyDescent="0.3">
      <c r="A6" t="s">
        <v>65</v>
      </c>
    </row>
    <row r="7" spans="1:1" x14ac:dyDescent="0.3">
      <c r="A7" t="s">
        <v>66</v>
      </c>
    </row>
    <row r="8" spans="1:1" x14ac:dyDescent="0.3">
      <c r="A8" t="s">
        <v>67</v>
      </c>
    </row>
    <row r="9" spans="1:1" x14ac:dyDescent="0.3">
      <c r="A9" t="s">
        <v>68</v>
      </c>
    </row>
    <row r="10" spans="1:1" x14ac:dyDescent="0.3">
      <c r="A10" t="s">
        <v>69</v>
      </c>
    </row>
    <row r="11" spans="1:1" x14ac:dyDescent="0.3">
      <c r="A11" t="s">
        <v>70</v>
      </c>
    </row>
    <row r="13" spans="1:1" x14ac:dyDescent="0.3">
      <c r="A13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4FBE-BC15-48F5-ACE2-855489953B6E}">
  <dimension ref="A1:C27"/>
  <sheetViews>
    <sheetView workbookViewId="0">
      <selection activeCell="A2" sqref="A2"/>
    </sheetView>
  </sheetViews>
  <sheetFormatPr defaultRowHeight="14.4" x14ac:dyDescent="0.3"/>
  <cols>
    <col min="1" max="1" width="33.33203125" bestFit="1" customWidth="1"/>
    <col min="2" max="2" width="15.44140625" bestFit="1" customWidth="1"/>
    <col min="3" max="3" width="12" bestFit="1" customWidth="1"/>
  </cols>
  <sheetData>
    <row r="1" spans="1:2" x14ac:dyDescent="0.3">
      <c r="A1" t="s">
        <v>45</v>
      </c>
      <c r="B1" t="s">
        <v>46</v>
      </c>
    </row>
    <row r="2" spans="1:2" x14ac:dyDescent="0.3">
      <c r="A2" cm="1">
        <f t="array" ref="A2">_xlfn._xlws.FILTER(ecommerce_sales_2025[revenue],ecommerce_sales_2025[product]="Notebook")</f>
        <v>125000</v>
      </c>
      <c r="B2" cm="1">
        <f t="array" ref="B2:B7">_xlfn._xlws.FILTER(ecommerce_sales_2025[revenue],ecommerce_sales_2025[product]&lt;&gt;"Notebook")</f>
        <v>8990</v>
      </c>
    </row>
    <row r="3" spans="1:2" x14ac:dyDescent="0.3">
      <c r="B3">
        <v>2990</v>
      </c>
    </row>
    <row r="4" spans="1:2" x14ac:dyDescent="0.3">
      <c r="B4">
        <v>49990</v>
      </c>
    </row>
    <row r="5" spans="1:2" x14ac:dyDescent="0.3">
      <c r="B5">
        <v>8990</v>
      </c>
    </row>
    <row r="6" spans="1:2" x14ac:dyDescent="0.3">
      <c r="B6">
        <v>8990</v>
      </c>
    </row>
    <row r="7" spans="1:2" x14ac:dyDescent="0.3">
      <c r="B7">
        <v>2990</v>
      </c>
    </row>
    <row r="9" spans="1:2" x14ac:dyDescent="0.3">
      <c r="A9" t="s">
        <v>47</v>
      </c>
    </row>
    <row r="10" spans="1:2" x14ac:dyDescent="0.3">
      <c r="A10">
        <f>AVERAGE(A2:A7)</f>
        <v>125000</v>
      </c>
      <c r="B10">
        <f>AVERAGE(B2:B7)</f>
        <v>13823.333333333334</v>
      </c>
    </row>
    <row r="12" spans="1:2" x14ac:dyDescent="0.3">
      <c r="A12" t="s">
        <v>48</v>
      </c>
    </row>
    <row r="13" spans="1:2" x14ac:dyDescent="0.3">
      <c r="A13">
        <f>COUNT(A2:A7)</f>
        <v>1</v>
      </c>
      <c r="B13">
        <f>COUNT(B2:B7)</f>
        <v>6</v>
      </c>
    </row>
    <row r="15" spans="1:2" x14ac:dyDescent="0.3">
      <c r="A15" t="s">
        <v>49</v>
      </c>
    </row>
    <row r="16" spans="1:2" ht="15" thickBot="1" x14ac:dyDescent="0.35"/>
    <row r="17" spans="1:3" x14ac:dyDescent="0.3">
      <c r="A17" s="12"/>
      <c r="B17" s="12" t="s">
        <v>50</v>
      </c>
      <c r="C17" s="12" t="s">
        <v>51</v>
      </c>
    </row>
    <row r="18" spans="1:3" x14ac:dyDescent="0.3">
      <c r="A18" s="10" t="s">
        <v>52</v>
      </c>
      <c r="B18" s="10">
        <v>125000</v>
      </c>
      <c r="C18" s="10">
        <v>13823.333333333334</v>
      </c>
    </row>
    <row r="19" spans="1:3" x14ac:dyDescent="0.3">
      <c r="A19" s="10" t="s">
        <v>53</v>
      </c>
      <c r="B19" s="10" t="e">
        <v>#DIV/0!</v>
      </c>
      <c r="C19" s="10">
        <v>322566666.66666663</v>
      </c>
    </row>
    <row r="20" spans="1:3" x14ac:dyDescent="0.3">
      <c r="A20" s="10" t="s">
        <v>54</v>
      </c>
      <c r="B20" s="10">
        <v>1</v>
      </c>
      <c r="C20" s="10">
        <v>6</v>
      </c>
    </row>
    <row r="21" spans="1:3" x14ac:dyDescent="0.3">
      <c r="A21" s="10" t="s">
        <v>55</v>
      </c>
      <c r="B21" s="10">
        <v>0</v>
      </c>
      <c r="C21" s="10"/>
    </row>
    <row r="22" spans="1:3" x14ac:dyDescent="0.3">
      <c r="A22" s="10" t="s">
        <v>56</v>
      </c>
      <c r="B22" s="10"/>
      <c r="C22" s="10"/>
    </row>
    <row r="23" spans="1:3" x14ac:dyDescent="0.3">
      <c r="A23" s="10" t="s">
        <v>57</v>
      </c>
      <c r="B23" s="10" t="e">
        <v>#VALUE!</v>
      </c>
      <c r="C23" s="10"/>
    </row>
    <row r="24" spans="1:3" x14ac:dyDescent="0.3">
      <c r="A24" s="10" t="s">
        <v>58</v>
      </c>
      <c r="B24" s="10" t="e">
        <v>#VALUE!</v>
      </c>
      <c r="C24" s="10"/>
    </row>
    <row r="25" spans="1:3" x14ac:dyDescent="0.3">
      <c r="A25" s="10" t="s">
        <v>59</v>
      </c>
      <c r="B25" s="10" t="e">
        <v>#NUM!</v>
      </c>
      <c r="C25" s="10"/>
    </row>
    <row r="26" spans="1:3" x14ac:dyDescent="0.3">
      <c r="A26" s="10" t="s">
        <v>60</v>
      </c>
      <c r="B26" s="10" t="e">
        <v>#VALUE!</v>
      </c>
      <c r="C26" s="10"/>
    </row>
    <row r="27" spans="1:3" ht="15" thickBot="1" x14ac:dyDescent="0.35">
      <c r="A27" s="11" t="s">
        <v>61</v>
      </c>
      <c r="B27" s="11" t="e">
        <v>#NUM!</v>
      </c>
      <c r="C27" s="1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EE51-8062-4ADE-BD6D-B2BF5D60BCBE}">
  <dimension ref="A3:C14"/>
  <sheetViews>
    <sheetView zoomScale="130" zoomScaleNormal="130" workbookViewId="0">
      <selection activeCell="A15" sqref="A15"/>
    </sheetView>
  </sheetViews>
  <sheetFormatPr defaultRowHeight="14.4" x14ac:dyDescent="0.3"/>
  <cols>
    <col min="1" max="1" width="14.88671875" bestFit="1" customWidth="1"/>
    <col min="2" max="2" width="15.33203125" style="9" bestFit="1" customWidth="1"/>
    <col min="3" max="3" width="14.33203125" bestFit="1" customWidth="1"/>
  </cols>
  <sheetData>
    <row r="3" spans="1:3" x14ac:dyDescent="0.3">
      <c r="A3" s="6" t="s">
        <v>38</v>
      </c>
      <c r="B3" s="9" t="s">
        <v>40</v>
      </c>
      <c r="C3" t="s">
        <v>41</v>
      </c>
    </row>
    <row r="4" spans="1:3" x14ac:dyDescent="0.3">
      <c r="A4" s="7" t="s">
        <v>33</v>
      </c>
      <c r="B4" s="9">
        <v>2990</v>
      </c>
      <c r="C4" s="8">
        <v>2</v>
      </c>
    </row>
    <row r="5" spans="1:3" x14ac:dyDescent="0.3">
      <c r="A5" s="7" t="s">
        <v>35</v>
      </c>
      <c r="B5" s="9">
        <v>125000</v>
      </c>
      <c r="C5" s="8">
        <v>1</v>
      </c>
    </row>
    <row r="6" spans="1:3" x14ac:dyDescent="0.3">
      <c r="A6" s="7" t="s">
        <v>32</v>
      </c>
      <c r="B6" s="9">
        <v>8990</v>
      </c>
      <c r="C6" s="8">
        <v>3</v>
      </c>
    </row>
    <row r="7" spans="1:3" x14ac:dyDescent="0.3">
      <c r="A7" s="7" t="s">
        <v>34</v>
      </c>
      <c r="B7" s="9">
        <v>49990</v>
      </c>
      <c r="C7" s="8">
        <v>1</v>
      </c>
    </row>
    <row r="8" spans="1:3" x14ac:dyDescent="0.3">
      <c r="A8" s="7" t="s">
        <v>39</v>
      </c>
      <c r="B8" s="9">
        <v>29705.714285714286</v>
      </c>
      <c r="C8" s="8">
        <v>7</v>
      </c>
    </row>
    <row r="11" spans="1:3" x14ac:dyDescent="0.3">
      <c r="A11" t="s">
        <v>42</v>
      </c>
    </row>
    <row r="13" spans="1:3" x14ac:dyDescent="0.3">
      <c r="A13" t="s">
        <v>43</v>
      </c>
    </row>
    <row r="14" spans="1:3" x14ac:dyDescent="0.3">
      <c r="A14" t="s">
        <v>44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B6F9-21E3-4B38-A789-CFAC447EFC29}">
  <dimension ref="A1:N8"/>
  <sheetViews>
    <sheetView zoomScale="115" zoomScaleNormal="115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11.21875" bestFit="1" customWidth="1"/>
    <col min="4" max="4" width="9.77734375" bestFit="1" customWidth="1"/>
    <col min="5" max="5" width="6.77734375" bestFit="1" customWidth="1"/>
    <col min="7" max="7" width="9" bestFit="1" customWidth="1"/>
    <col min="8" max="8" width="12.5546875" style="3" bestFit="1" customWidth="1"/>
    <col min="9" max="9" width="17.44140625" bestFit="1" customWidth="1"/>
    <col min="10" max="10" width="13.6640625" bestFit="1" customWidth="1"/>
    <col min="11" max="11" width="14.44140625" bestFit="1" customWidth="1"/>
    <col min="12" max="12" width="15.5546875" bestFit="1" customWidth="1"/>
    <col min="13" max="13" width="20.21875" style="1" bestFit="1" customWidth="1"/>
    <col min="14" max="14" width="21.77734375" style="2" bestFit="1" customWidth="1"/>
  </cols>
  <sheetData>
    <row r="1" spans="1:14" x14ac:dyDescent="0.3">
      <c r="A1" t="s">
        <v>25</v>
      </c>
      <c r="B1" t="s">
        <v>0</v>
      </c>
      <c r="C1" t="s">
        <v>26</v>
      </c>
      <c r="D1" t="s">
        <v>27</v>
      </c>
      <c r="E1" t="s">
        <v>28</v>
      </c>
      <c r="F1" t="s">
        <v>2</v>
      </c>
      <c r="G1" t="s">
        <v>29</v>
      </c>
      <c r="H1" s="3" t="s">
        <v>30</v>
      </c>
      <c r="I1" t="s">
        <v>31</v>
      </c>
      <c r="J1" t="s">
        <v>1</v>
      </c>
      <c r="K1" t="s">
        <v>3</v>
      </c>
      <c r="L1" t="s">
        <v>4</v>
      </c>
      <c r="M1" s="1" t="s">
        <v>36</v>
      </c>
      <c r="N1" s="2" t="s">
        <v>37</v>
      </c>
    </row>
    <row r="2" spans="1:14" x14ac:dyDescent="0.3">
      <c r="A2">
        <v>5001</v>
      </c>
      <c r="B2">
        <v>1001</v>
      </c>
      <c r="C2" t="s">
        <v>32</v>
      </c>
      <c r="D2">
        <v>8990</v>
      </c>
      <c r="E2">
        <v>5000</v>
      </c>
      <c r="F2" t="s">
        <v>6</v>
      </c>
      <c r="G2">
        <v>3990</v>
      </c>
      <c r="H2" s="3">
        <v>0.44382647385984397</v>
      </c>
      <c r="I2" t="s">
        <v>8</v>
      </c>
      <c r="J2" t="s">
        <v>5</v>
      </c>
      <c r="K2" t="s">
        <v>7</v>
      </c>
      <c r="L2" t="s">
        <v>9</v>
      </c>
      <c r="M2" s="1">
        <f>(ecommerce_sales_2025[[#This Row],[revenue]]-MIN(ecommerce_sales_2025[revenue]))/(MAX(ecommerce_sales_2025[revenue])-MIN(ecommerce_sales_2025[revenue]))</f>
        <v>4.9176297024834031E-2</v>
      </c>
      <c r="N2" s="2">
        <f>(ecommerce_sales_2025[[#This Row],[revenue]]-AVERAGE(ecommerce_sales_2025[revenue]))/STDEV(ecommerce_sales_2025[revenue])</f>
        <v>-0.45926686946673201</v>
      </c>
    </row>
    <row r="3" spans="1:14" x14ac:dyDescent="0.3">
      <c r="A3">
        <v>5002</v>
      </c>
      <c r="B3">
        <v>1002</v>
      </c>
      <c r="C3" t="s">
        <v>33</v>
      </c>
      <c r="D3">
        <v>2990</v>
      </c>
      <c r="E3">
        <v>1800</v>
      </c>
      <c r="F3" t="s">
        <v>11</v>
      </c>
      <c r="G3">
        <v>1190</v>
      </c>
      <c r="H3" s="3">
        <v>0.39799331103678898</v>
      </c>
      <c r="I3" t="s">
        <v>8</v>
      </c>
      <c r="J3" t="s">
        <v>10</v>
      </c>
      <c r="K3" t="s">
        <v>12</v>
      </c>
      <c r="L3" t="s">
        <v>9</v>
      </c>
      <c r="M3" s="1">
        <f>(ecommerce_sales_2025[[#This Row],[revenue]]-MIN(ecommerce_sales_2025[revenue]))/(MAX(ecommerce_sales_2025[revenue])-MIN(ecommerce_sales_2025[revenue]))</f>
        <v>0</v>
      </c>
      <c r="N3" s="2">
        <f>(ecommerce_sales_2025[[#This Row],[revenue]]-AVERAGE(ecommerce_sales_2025[revenue]))/STDEV(ecommerce_sales_2025[revenue])</f>
        <v>-0.59228671994326976</v>
      </c>
    </row>
    <row r="4" spans="1:14" x14ac:dyDescent="0.3">
      <c r="A4">
        <v>5003</v>
      </c>
      <c r="B4">
        <v>1003</v>
      </c>
      <c r="C4" t="s">
        <v>34</v>
      </c>
      <c r="D4">
        <v>49990</v>
      </c>
      <c r="E4">
        <v>41000</v>
      </c>
      <c r="F4" t="s">
        <v>6</v>
      </c>
      <c r="G4">
        <v>8990</v>
      </c>
      <c r="H4" s="3">
        <v>0.179835967193439</v>
      </c>
      <c r="I4" t="s">
        <v>8</v>
      </c>
      <c r="J4" t="s">
        <v>13</v>
      </c>
      <c r="L4" t="s">
        <v>15</v>
      </c>
      <c r="M4" s="1">
        <f>(ecommerce_sales_2025[[#This Row],[revenue]]-MIN(ecommerce_sales_2025[revenue]))/(MAX(ecommerce_sales_2025[revenue])-MIN(ecommerce_sales_2025[revenue]))</f>
        <v>0.38521432669453326</v>
      </c>
      <c r="N4" s="2">
        <f>(ecommerce_sales_2025[[#This Row],[revenue]]-AVERAGE(ecommerce_sales_2025[revenue]))/STDEV(ecommerce_sales_2025[revenue])</f>
        <v>0.44970210878960948</v>
      </c>
    </row>
    <row r="5" spans="1:14" x14ac:dyDescent="0.3">
      <c r="A5">
        <v>5004</v>
      </c>
      <c r="B5">
        <v>1004</v>
      </c>
      <c r="C5" t="s">
        <v>32</v>
      </c>
      <c r="D5">
        <v>8990</v>
      </c>
      <c r="E5">
        <v>5000</v>
      </c>
      <c r="F5" t="s">
        <v>17</v>
      </c>
      <c r="G5">
        <v>3990</v>
      </c>
      <c r="H5" s="3">
        <v>0.44382647385984397</v>
      </c>
      <c r="I5" t="s">
        <v>8</v>
      </c>
      <c r="J5" t="s">
        <v>16</v>
      </c>
      <c r="K5" t="s">
        <v>18</v>
      </c>
      <c r="L5" t="s">
        <v>19</v>
      </c>
      <c r="M5" s="1">
        <f>(ecommerce_sales_2025[[#This Row],[revenue]]-MIN(ecommerce_sales_2025[revenue]))/(MAX(ecommerce_sales_2025[revenue])-MIN(ecommerce_sales_2025[revenue]))</f>
        <v>4.9176297024834031E-2</v>
      </c>
      <c r="N5" s="2">
        <f>(ecommerce_sales_2025[[#This Row],[revenue]]-AVERAGE(ecommerce_sales_2025[revenue]))/STDEV(ecommerce_sales_2025[revenue])</f>
        <v>-0.45926686946673201</v>
      </c>
    </row>
    <row r="6" spans="1:14" x14ac:dyDescent="0.3">
      <c r="A6">
        <v>5005</v>
      </c>
      <c r="B6">
        <v>1005</v>
      </c>
      <c r="C6" t="s">
        <v>32</v>
      </c>
      <c r="D6">
        <v>8990</v>
      </c>
      <c r="E6">
        <v>5000</v>
      </c>
      <c r="F6" t="s">
        <v>6</v>
      </c>
      <c r="G6">
        <v>3990</v>
      </c>
      <c r="H6" s="3">
        <v>0.44382647385984397</v>
      </c>
      <c r="I6" t="s">
        <v>8</v>
      </c>
      <c r="M6" s="1">
        <f>(ecommerce_sales_2025[[#This Row],[revenue]]-MIN(ecommerce_sales_2025[revenue]))/(MAX(ecommerce_sales_2025[revenue])-MIN(ecommerce_sales_2025[revenue]))</f>
        <v>4.9176297024834031E-2</v>
      </c>
      <c r="N6" s="2">
        <f>(ecommerce_sales_2025[[#This Row],[revenue]]-AVERAGE(ecommerce_sales_2025[revenue]))/STDEV(ecommerce_sales_2025[revenue])</f>
        <v>-0.45926686946673201</v>
      </c>
    </row>
    <row r="7" spans="1:14" x14ac:dyDescent="0.3">
      <c r="A7">
        <v>5006</v>
      </c>
      <c r="B7">
        <v>1006</v>
      </c>
      <c r="C7" t="s">
        <v>35</v>
      </c>
      <c r="D7">
        <v>125000</v>
      </c>
      <c r="E7">
        <v>70000</v>
      </c>
      <c r="F7" t="s">
        <v>21</v>
      </c>
      <c r="G7">
        <v>55000</v>
      </c>
      <c r="H7" s="3">
        <v>0.44</v>
      </c>
      <c r="I7" t="s">
        <v>14</v>
      </c>
      <c r="J7" t="s">
        <v>20</v>
      </c>
      <c r="K7" t="s">
        <v>22</v>
      </c>
      <c r="L7" t="s">
        <v>9</v>
      </c>
      <c r="M7" s="1">
        <f>(ecommerce_sales_2025[[#This Row],[revenue]]-MIN(ecommerce_sales_2025[revenue]))/(MAX(ecommerce_sales_2025[revenue])-MIN(ecommerce_sales_2025[revenue]))</f>
        <v>1</v>
      </c>
      <c r="N7" s="2">
        <f>(ecommerce_sales_2025[[#This Row],[revenue]]-AVERAGE(ecommerce_sales_2025[revenue]))/STDEV(ecommerce_sales_2025[revenue])</f>
        <v>2.1126719394971261</v>
      </c>
    </row>
    <row r="8" spans="1:14" x14ac:dyDescent="0.3">
      <c r="A8">
        <v>5007</v>
      </c>
      <c r="B8">
        <v>1007</v>
      </c>
      <c r="C8" t="s">
        <v>33</v>
      </c>
      <c r="D8">
        <v>2990</v>
      </c>
      <c r="E8">
        <v>1800</v>
      </c>
      <c r="F8" t="s">
        <v>24</v>
      </c>
      <c r="G8">
        <v>1190</v>
      </c>
      <c r="H8" s="3">
        <v>0.39799331103678898</v>
      </c>
      <c r="I8" t="s">
        <v>8</v>
      </c>
      <c r="J8" t="s">
        <v>23</v>
      </c>
      <c r="L8" t="s">
        <v>9</v>
      </c>
      <c r="M8" s="1">
        <f>(ecommerce_sales_2025[[#This Row],[revenue]]-MIN(ecommerce_sales_2025[revenue]))/(MAX(ecommerce_sales_2025[revenue])-MIN(ecommerce_sales_2025[revenue]))</f>
        <v>0</v>
      </c>
      <c r="N8" s="2">
        <f>(ecommerce_sales_2025[[#This Row],[revenue]]-AVERAGE(ecommerce_sales_2025[revenue]))/STDEV(ecommerce_sales_2025[revenue])</f>
        <v>-0.59228671994326976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77F359-B145-40C6-96BC-6C1055EFBC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Summary</vt:lpstr>
      <vt:lpstr>SDA</vt:lpstr>
      <vt:lpstr>EDA</vt:lpstr>
      <vt:lpstr>ecommerce_sales_2025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2026-05-25T07:11:34Z</dcterms:created>
  <dcterms:modified xsi:type="dcterms:W3CDTF">2026-05-25T09:39:21Z</dcterms:modified>
</cp:coreProperties>
</file>