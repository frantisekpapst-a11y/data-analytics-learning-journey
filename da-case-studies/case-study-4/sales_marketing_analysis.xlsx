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t\Desktop\"/>
    </mc:Choice>
  </mc:AlternateContent>
  <xr:revisionPtr revIDLastSave="0" documentId="13_ncr:1_{7AD67217-614E-48FC-B214-01EED63CCC24}" xr6:coauthVersionLast="47" xr6:coauthVersionMax="47" xr10:uidLastSave="{00000000-0000-0000-0000-000000000000}"/>
  <bookViews>
    <workbookView xWindow="-108" yWindow="-108" windowWidth="23256" windowHeight="13896" xr2:uid="{71D88307-54D5-4CC3-8390-3B9CE332CF62}"/>
  </bookViews>
  <sheets>
    <sheet name="sumář" sheetId="8" r:id="rId1"/>
    <sheet name="outlier_analysis" sheetId="6" r:id="rId2"/>
    <sheet name="revenue_time" sheetId="5" r:id="rId3"/>
    <sheet name="revenue_category" sheetId="1" r:id="rId4"/>
    <sheet name="revenue_overview" sheetId="4" r:id="rId5"/>
    <sheet name="sales_data" sheetId="2" r:id="rId6"/>
    <sheet name="marketing_summary" sheetId="7" r:id="rId7"/>
    <sheet name="marketing_data" sheetId="3" r:id="rId8"/>
  </sheets>
  <definedNames>
    <definedName name="ExternalData_1" localSheetId="7" hidden="1">marketing_data!$A$1:$K$13</definedName>
    <definedName name="ExternalData_1" localSheetId="5" hidden="1">sales_data!$A$1:$L$57</definedName>
  </definedNames>
  <calcPr calcId="191029"/>
  <pivotCaches>
    <pivotCache cacheId="5" r:id="rId9"/>
    <pivotCache cacheId="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M2" i="3"/>
  <c r="M3" i="3"/>
  <c r="M4" i="3"/>
  <c r="M5" i="3"/>
  <c r="M6" i="3"/>
  <c r="M7" i="3"/>
  <c r="M8" i="3"/>
  <c r="M9" i="3"/>
  <c r="M10" i="3"/>
  <c r="M11" i="3"/>
  <c r="M12" i="3"/>
  <c r="M13" i="3"/>
  <c r="L2" i="3"/>
  <c r="L3" i="3"/>
  <c r="L4" i="3"/>
  <c r="L5" i="3"/>
  <c r="L6" i="3"/>
  <c r="L7" i="3"/>
  <c r="L8" i="3"/>
  <c r="L9" i="3"/>
  <c r="L10" i="3"/>
  <c r="L11" i="3"/>
  <c r="L12" i="3"/>
  <c r="L13" i="3"/>
  <c r="B4" i="6"/>
  <c r="B3" i="6"/>
  <c r="B2" i="6"/>
  <c r="B1" i="6"/>
  <c r="B5" i="6" l="1"/>
  <c r="B6" i="6" s="1"/>
  <c r="B7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7E1A61-3807-4D88-A469-EC58FFB75EB6}" keepAlive="1" name="Dotaz – marketing_data" description="Připojení k dotazu produktu marketing_data v sešitě" type="5" refreshedVersion="8" background="1" saveData="1">
    <dbPr connection="Provider=Microsoft.Mashup.OleDb.1;Data Source=$Workbook$;Location=marketing_data;Extended Properties=&quot;&quot;" command="SELECT * FROM [marketing_data]"/>
  </connection>
  <connection id="2" xr16:uid="{294CF983-37E8-4D98-92D1-BC98033EC017}" keepAlive="1" name="Dotaz – sales_data" description="Připojení k dotazu produktu sales_data v sešitě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<sst xmlns="http://schemas.openxmlformats.org/spreadsheetml/2006/main" count="620" uniqueCount="262">
  <si>
    <t>order_id</t>
  </si>
  <si>
    <t>order_date</t>
  </si>
  <si>
    <t>customer_id</t>
  </si>
  <si>
    <t>region</t>
  </si>
  <si>
    <t>product</t>
  </si>
  <si>
    <t>category</t>
  </si>
  <si>
    <t>quantity</t>
  </si>
  <si>
    <t>unit_price</t>
  </si>
  <si>
    <t>revenue</t>
  </si>
  <si>
    <t>cost</t>
  </si>
  <si>
    <t>profit</t>
  </si>
  <si>
    <t>campaign_id</t>
  </si>
  <si>
    <t>ORD-0001</t>
  </si>
  <si>
    <t>CUST-001</t>
  </si>
  <si>
    <t>Praha</t>
  </si>
  <si>
    <t>Lenovo ThinkBook</t>
  </si>
  <si>
    <t>Notebooks</t>
  </si>
  <si>
    <t>CMP-001</t>
  </si>
  <si>
    <t>ORD-0002</t>
  </si>
  <si>
    <t>CUST-002</t>
  </si>
  <si>
    <t>Brno</t>
  </si>
  <si>
    <t>JBL Tune</t>
  </si>
  <si>
    <t>Audio</t>
  </si>
  <si>
    <t>CMP-002</t>
  </si>
  <si>
    <t>ORD-0003</t>
  </si>
  <si>
    <t>CUST-003</t>
  </si>
  <si>
    <t>Plzeň</t>
  </si>
  <si>
    <t>Apple Watch</t>
  </si>
  <si>
    <t>Wearables</t>
  </si>
  <si>
    <t>ORD-0004</t>
  </si>
  <si>
    <t>CUST-004</t>
  </si>
  <si>
    <t>Ostrava</t>
  </si>
  <si>
    <t>Mechanical Keyboard</t>
  </si>
  <si>
    <t>Accessories</t>
  </si>
  <si>
    <t>CMP-003</t>
  </si>
  <si>
    <t>ORD-0005</t>
  </si>
  <si>
    <t>CUST-005</t>
  </si>
  <si>
    <t>Sony WH</t>
  </si>
  <si>
    <t>ORD-0006</t>
  </si>
  <si>
    <t>CUST-006</t>
  </si>
  <si>
    <t>ASUS ZenBook</t>
  </si>
  <si>
    <t>CMP-004</t>
  </si>
  <si>
    <t>ORD-0007</t>
  </si>
  <si>
    <t>CUST-007</t>
  </si>
  <si>
    <t>Galaxy Watch</t>
  </si>
  <si>
    <t>ORD-0008</t>
  </si>
  <si>
    <t>CUST-008</t>
  </si>
  <si>
    <t>Logitech Mouse</t>
  </si>
  <si>
    <t>ORD-0009</t>
  </si>
  <si>
    <t>CUST-009</t>
  </si>
  <si>
    <t>Soundcore Liberty</t>
  </si>
  <si>
    <t>ORD-0010</t>
  </si>
  <si>
    <t>CUST-010</t>
  </si>
  <si>
    <t>HP ProBook</t>
  </si>
  <si>
    <t>ORD-0011</t>
  </si>
  <si>
    <t>CUST-011</t>
  </si>
  <si>
    <t>ORD-0012</t>
  </si>
  <si>
    <t>CUST-012</t>
  </si>
  <si>
    <t>ORD-0013</t>
  </si>
  <si>
    <t>CUST-013</t>
  </si>
  <si>
    <t>ORD-0014</t>
  </si>
  <si>
    <t>CUST-014</t>
  </si>
  <si>
    <t>ORD-0015</t>
  </si>
  <si>
    <t>CUST-015</t>
  </si>
  <si>
    <t>ORD-0016</t>
  </si>
  <si>
    <t>CUST-016</t>
  </si>
  <si>
    <t>ORD-0017</t>
  </si>
  <si>
    <t>CUST-017</t>
  </si>
  <si>
    <t>ORD-0018</t>
  </si>
  <si>
    <t>CUST-018</t>
  </si>
  <si>
    <t>ORD-0019</t>
  </si>
  <si>
    <t>CUST-019</t>
  </si>
  <si>
    <t>ORD-0020</t>
  </si>
  <si>
    <t>CUST-020</t>
  </si>
  <si>
    <t>ORD-0021</t>
  </si>
  <si>
    <t>CUST-021</t>
  </si>
  <si>
    <t>ORD-0022</t>
  </si>
  <si>
    <t>CUST-022</t>
  </si>
  <si>
    <t>ORD-0023</t>
  </si>
  <si>
    <t>CUST-023</t>
  </si>
  <si>
    <t>ORD-0024</t>
  </si>
  <si>
    <t>CUST-024</t>
  </si>
  <si>
    <t>ORD-0025</t>
  </si>
  <si>
    <t>CUST-025</t>
  </si>
  <si>
    <t>ORD-0026</t>
  </si>
  <si>
    <t>CUST-026</t>
  </si>
  <si>
    <t>ORD-0027</t>
  </si>
  <si>
    <t>CUST-027</t>
  </si>
  <si>
    <t>CMP-005</t>
  </si>
  <si>
    <t>ORD-0028</t>
  </si>
  <si>
    <t>CUST-028</t>
  </si>
  <si>
    <t>ORD-0029</t>
  </si>
  <si>
    <t>CUST-029</t>
  </si>
  <si>
    <t>CMP-006</t>
  </si>
  <si>
    <t>ORD-0030</t>
  </si>
  <si>
    <t>CUST-030</t>
  </si>
  <si>
    <t>ORD-0031</t>
  </si>
  <si>
    <t>CUST-031</t>
  </si>
  <si>
    <t>CMP-007</t>
  </si>
  <si>
    <t>ORD-0032</t>
  </si>
  <si>
    <t>CUST-032</t>
  </si>
  <si>
    <t>ORD-0033</t>
  </si>
  <si>
    <t>CUST-033</t>
  </si>
  <si>
    <t>CMP-008</t>
  </si>
  <si>
    <t>ORD-0034</t>
  </si>
  <si>
    <t>CUST-034</t>
  </si>
  <si>
    <t>ORD-0035</t>
  </si>
  <si>
    <t>CUST-035</t>
  </si>
  <si>
    <t>ORD-0036</t>
  </si>
  <si>
    <t>CUST-036</t>
  </si>
  <si>
    <t>CMP-009</t>
  </si>
  <si>
    <t>ORD-0037</t>
  </si>
  <si>
    <t>CUST-037</t>
  </si>
  <si>
    <t>ORD-0038</t>
  </si>
  <si>
    <t>CUST-038</t>
  </si>
  <si>
    <t>CMP-010</t>
  </si>
  <si>
    <t>ORD-0039</t>
  </si>
  <si>
    <t>CUST-039</t>
  </si>
  <si>
    <t>ORD-0040</t>
  </si>
  <si>
    <t>CUST-040</t>
  </si>
  <si>
    <t>campaign_name</t>
  </si>
  <si>
    <t>channel</t>
  </si>
  <si>
    <t>start_date</t>
  </si>
  <si>
    <t>end_date</t>
  </si>
  <si>
    <t>spend</t>
  </si>
  <si>
    <t>impressions</t>
  </si>
  <si>
    <t>clicks</t>
  </si>
  <si>
    <t>conversions</t>
  </si>
  <si>
    <t>Winter Wearables Push</t>
  </si>
  <si>
    <t>Google Ads</t>
  </si>
  <si>
    <t>Audio Campaign Q1</t>
  </si>
  <si>
    <t>Meta Ads</t>
  </si>
  <si>
    <t>Accessories Boost</t>
  </si>
  <si>
    <t>Email</t>
  </si>
  <si>
    <t>Notebook Performance Campaign</t>
  </si>
  <si>
    <t>Back To School Audio</t>
  </si>
  <si>
    <t>Autumn Tech Campaign</t>
  </si>
  <si>
    <t>Black Friday Audio Blast</t>
  </si>
  <si>
    <t>Premium Notebook Push</t>
  </si>
  <si>
    <t>YouTube</t>
  </si>
  <si>
    <t>Holiday Electronics Campaign</t>
  </si>
  <si>
    <t>Christmas VIP Campaign</t>
  </si>
  <si>
    <t>CMP-A</t>
  </si>
  <si>
    <t>A/B Test Banner A</t>
  </si>
  <si>
    <t>CMP-B</t>
  </si>
  <si>
    <t>A/B Test Banner B</t>
  </si>
  <si>
    <t>Popisky řádků</t>
  </si>
  <si>
    <t>Celkový součet</t>
  </si>
  <si>
    <t>Součet z revenue</t>
  </si>
  <si>
    <t>Součet z profit</t>
  </si>
  <si>
    <t>1. Praha dominuje</t>
  </si>
  <si>
    <t>2. Plzeň je zajímavá</t>
  </si>
  <si>
    <t>3. Ostrava je slabší region</t>
  </si>
  <si>
    <t>1. Notebooky jsou core business</t>
  </si>
  <si>
    <t>2. Audio dělá zajímavý objem</t>
  </si>
  <si>
    <t>3. Accessories mají malé revenue, ale zajímavou marži</t>
  </si>
  <si>
    <t>4. Wearables jsou střední segment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</si>
  <si>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</si>
  <si>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</si>
  <si>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</si>
  <si>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</si>
  <si>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</si>
  <si>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</si>
  <si>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</si>
  <si>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</si>
  <si>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</si>
  <si>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</si>
  <si>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</si>
  <si>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</si>
  <si>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1. Extrémní sezónnost</t>
  </si>
  <si>
    <t>2. Léto je slabé</t>
  </si>
  <si>
    <t>Červenec + srpen</t>
  </si>
  <si>
    <t>3. Black Friday efekt</t>
  </si>
  <si>
    <t>Listopad</t>
  </si>
  <si>
    <t>4. Vánoční vrchol</t>
  </si>
  <si>
    <t>Prosinec</t>
  </si>
  <si>
    <t>Business interpretace</t>
  </si>
  <si>
    <t>Průměr</t>
  </si>
  <si>
    <t>Medián</t>
  </si>
  <si>
    <t>Q1</t>
  </si>
  <si>
    <t>Q3</t>
  </si>
  <si>
    <t>IQR</t>
  </si>
  <si>
    <t>Dolní mez</t>
  </si>
  <si>
    <t>Horní mez</t>
  </si>
  <si>
    <t>1. Průměr je výrazně vyšší než medián</t>
  </si>
  <si>
    <t>51 380 vs 23 980</t>
  </si>
  <si>
    <t>2. Máme pozitivně vychýlenou distribuci</t>
  </si>
  <si>
    <t>3. Horní mez outlierů</t>
  </si>
  <si>
    <t>Všechno nad tím:</t>
  </si>
  <si>
    <t>bude outlier.</t>
  </si>
  <si>
    <t>A my tam takové objednávky máme:</t>
  </si>
  <si>
    <t>A teď přichází velmi důležitá analytická věc:</t>
  </si>
  <si>
    <t>Outlier ≠ chyba</t>
  </si>
  <si>
    <t>Tohle je strašně důležité pochopit.</t>
  </si>
  <si>
    <t>V business datech může být outlier:</t>
  </si>
  <si>
    <t>chyba,</t>
  </si>
  <si>
    <t>fraud,</t>
  </si>
  <si>
    <t>ale taky:</t>
  </si>
  <si>
    <t>VIP zákazník,</t>
  </si>
  <si>
    <t>enterprise order,</t>
  </si>
  <si>
    <t>Black Friday spike,</t>
  </si>
  <si>
    <t>seasonal peak.</t>
  </si>
  <si>
    <t>A analytik musí:</t>
  </si>
  <si>
    <t>chápat kontext.</t>
  </si>
  <si>
    <t>Co bychom udělali v reálné firmě</t>
  </si>
  <si>
    <t>Zkoumali bychom:</t>
  </si>
  <si>
    <t>kdo objednal,</t>
  </si>
  <si>
    <t>kdy,</t>
  </si>
  <si>
    <t>jaký produkt,</t>
  </si>
  <si>
    <t>přes jakou kampaň,</t>
  </si>
  <si>
    <t>jestli jde o B2B.</t>
  </si>
  <si>
    <t>ctr</t>
  </si>
  <si>
    <t>conversion_rate</t>
  </si>
  <si>
    <t>roas</t>
  </si>
  <si>
    <t>ROAS</t>
  </si>
  <si>
    <t>Nejlepší ROAS</t>
  </si>
  <si>
    <t>A/B test</t>
  </si>
  <si>
    <t>Kampaň</t>
  </si>
  <si>
    <t>Conversion</t>
  </si>
  <si>
    <t>Banner A</t>
  </si>
  <si>
    <t>Banner B</t>
  </si>
  <si>
    <t>firemní zákazníci</t>
  </si>
  <si>
    <t>vánoční velké objednávky</t>
  </si>
  <si>
    <t>notebook verlké objednávky</t>
  </si>
  <si>
    <t>dlouhý pravý ocas</t>
  </si>
  <si>
    <t>několik velmi vysokých revenue hodnot</t>
  </si>
  <si>
    <t>dataset není symetrický</t>
  </si>
  <si>
    <t>několik velkých objednávek výrazně zvyšuje průměr</t>
  </si>
  <si>
    <t>slabší léto</t>
  </si>
  <si>
    <t>silný Q4</t>
  </si>
  <si>
    <t>obrovský prosinec</t>
  </si>
  <si>
    <t>notebooky</t>
  </si>
  <si>
    <t>premium produkty</t>
  </si>
  <si>
    <t>VIP objednávky</t>
  </si>
  <si>
    <t>vánoční kampaně</t>
  </si>
  <si>
    <t>Praha generuje</t>
  </si>
  <si>
    <t>výrazně nejvyšší revenue</t>
  </si>
  <si>
    <t>výrazně nejvyšší profit</t>
  </si>
  <si>
    <t>Plzeň má</t>
  </si>
  <si>
    <t>výrazně menší revenue než Praha</t>
  </si>
  <si>
    <t>ale pořád relativně solidní profit</t>
  </si>
  <si>
    <t>Nižší</t>
  </si>
  <si>
    <t>A zároveň</t>
  </si>
  <si>
    <t>více audio/accessories</t>
  </si>
  <si>
    <t>méně premium notebooků</t>
  </si>
  <si>
    <t xml:space="preserve">Christmas VIP Campaign </t>
  </si>
  <si>
    <t>A/B Banner B</t>
  </si>
  <si>
    <t>Průměr z roas</t>
  </si>
  <si>
    <t>Součet z spend</t>
  </si>
  <si>
    <t>Průměr z conversion_rate</t>
  </si>
  <si>
    <t>Email marketing je nejefektivnější kanál.</t>
  </si>
  <si>
    <t>Google Ads přináší největší objem tržeb.</t>
  </si>
  <si>
    <t>Tržby, zisk</t>
  </si>
  <si>
    <t>Produkty</t>
  </si>
  <si>
    <t>Tržby - sezonnost</t>
  </si>
  <si>
    <t>výrazně nejvyšší tržby i</t>
  </si>
  <si>
    <t>výrazně nejvyšší zisk</t>
  </si>
  <si>
    <t>výrazně menší tržby než Praha</t>
  </si>
  <si>
    <t>ale pořád relativně dobrý zisk</t>
  </si>
  <si>
    <t>tržby i</t>
  </si>
  <si>
    <t>zisk</t>
  </si>
  <si>
    <t>3. Accessories mají malé tržby, ale zajímavou marži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</si>
</sst>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" fontId="0" fillId="0" borderId="0" xfId="0" applyNumberFormat="1"/>
    <xf numFmtId="0" fontId="0" fillId="3" borderId="1" xfId="0" applyNumberFormat="1" applyFont="1" applyFill="1" applyBorder="1"/>
    <xf numFmtId="14" fontId="0" fillId="3" borderId="2" xfId="0" applyNumberFormat="1" applyFont="1" applyFill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0" borderId="1" xfId="0" applyNumberFormat="1" applyFont="1" applyBorder="1"/>
    <xf numFmtId="14" fontId="0" fillId="0" borderId="2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9" fontId="0" fillId="0" borderId="0" xfId="1" applyFont="1"/>
    <xf numFmtId="2" fontId="0" fillId="0" borderId="0" xfId="0" applyNumberFormat="1"/>
    <xf numFmtId="9" fontId="0" fillId="0" borderId="0" xfId="0" applyNumberFormat="1"/>
    <xf numFmtId="0" fontId="0" fillId="4" borderId="0" xfId="0" applyFill="1"/>
    <xf numFmtId="9" fontId="0" fillId="4" borderId="0" xfId="0" applyNumberFormat="1" applyFill="1"/>
    <xf numFmtId="0" fontId="3" fillId="0" borderId="0" xfId="0" applyFont="1"/>
    <xf numFmtId="1" fontId="3" fillId="0" borderId="0" xfId="0" applyNumberFormat="1" applyFont="1"/>
  </cellXfs>
  <cellStyles count="2">
    <cellStyle name="Normální" xfId="0" builtinId="0"/>
    <cellStyle name="Procenta" xfId="1" builtinId="5"/>
  </cellStyles>
  <dxfs count="14">
    <dxf>
      <numFmt numFmtId="2" formatCode="0.00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tišek Papst" refreshedDate="46166.428575578706" createdVersion="8" refreshedVersion="8" minRefreshableVersion="3" recordCount="56" xr:uid="{A18345E5-5A57-4A72-ABA2-C4FEE2DA772A}">
  <cacheSource type="worksheet">
    <worksheetSource name="sales_data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5-01-05T00:00:00" maxDate="2025-12-23T00:00:00" count="40">
        <d v="2025-01-05T00:00:00"/>
        <d v="2025-01-07T00:00:00"/>
        <d v="2025-01-08T00:00:00"/>
        <d v="2025-01-10T00:00:00"/>
        <d v="2025-01-12T00:00:00"/>
        <d v="2025-01-15T00:00:00"/>
        <d v="2025-01-18T00:00:00"/>
        <d v="2025-01-20T00:00:00"/>
        <d v="2025-01-22T00:00:00"/>
        <d v="2025-01-25T00:00:00"/>
        <d v="2025-02-03T00:00:00"/>
        <d v="2025-02-05T00:00:00"/>
        <d v="2025-02-08T00:00:00"/>
        <d v="2025-02-10T00:00:00"/>
        <d v="2025-03-02T00:00:00"/>
        <d v="2025-03-06T00:00:00"/>
        <d v="2025-03-10T00:00:00"/>
        <d v="2025-03-14T00:00:00"/>
        <d v="2025-04-01T00:00:00"/>
        <d v="2025-04-05T00:00:00"/>
        <d v="2025-05-11T00:00:00"/>
        <d v="2025-05-14T00:00:00"/>
        <d v="2025-06-02T00:00:00"/>
        <d v="2025-06-10T00:00:00"/>
        <d v="2025-07-03T00:00:00"/>
        <d v="2025-08-09T00:00:00"/>
        <d v="2025-09-02T00:00:00"/>
        <d v="2025-09-12T00:00:00"/>
        <d v="2025-10-01T00:00:00"/>
        <d v="2025-10-08T00:00:00"/>
        <d v="2025-11-05T00:00:00"/>
        <d v="2025-11-11T00:00:00"/>
        <d v="2025-11-18T00:00:00"/>
        <d v="2025-11-22T00:00:00"/>
        <d v="2025-11-25T00:00:00"/>
        <d v="2025-12-02T00:00:00"/>
        <d v="2025-12-08T00:00:00"/>
        <d v="2025-12-12T00:00:00"/>
        <d v="2025-12-18T00:00:00"/>
        <d v="2025-12-22T00:00:00"/>
      </sharedItems>
      <fieldGroup par="13"/>
    </cacheField>
    <cacheField name="customer_id" numFmtId="0">
      <sharedItems/>
    </cacheField>
    <cacheField name="region" numFmtId="0">
      <sharedItems count="4">
        <s v="Praha"/>
        <s v="Brno"/>
        <s v="Plzeň"/>
        <s v="Ostrava"/>
      </sharedItems>
    </cacheField>
    <cacheField name="product" numFmtId="0">
      <sharedItems/>
    </cacheField>
    <cacheField name="category" numFmtId="0">
      <sharedItems count="4">
        <s v="Notebooks"/>
        <s v="Audio"/>
        <s v="Wearables"/>
        <s v="Accessories"/>
      </sharedItems>
    </cacheField>
    <cacheField name="quantity" numFmtId="0">
      <sharedItems containsSemiMixedTypes="0" containsString="0" containsNumber="1" containsInteger="1" minValue="1" maxValue="20"/>
    </cacheField>
    <cacheField name="unit_price" numFmtId="0">
      <sharedItems containsSemiMixedTypes="0" containsString="0" containsNumber="1" containsInteger="1" minValue="1290" maxValue="31990"/>
    </cacheField>
    <cacheField name="revenue" numFmtId="0">
      <sharedItems containsSemiMixedTypes="0" containsString="0" containsNumber="1" containsInteger="1" minValue="2490" maxValue="479850"/>
    </cacheField>
    <cacheField name="cost" numFmtId="0">
      <sharedItems containsSemiMixedTypes="0" containsString="0" containsNumber="1" containsInteger="1" minValue="1200" maxValue="375000"/>
    </cacheField>
    <cacheField name="profit" numFmtId="0">
      <sharedItems containsSemiMixedTypes="0" containsString="0" containsNumber="1" containsInteger="1" minValue="890" maxValue="104850"/>
    </cacheField>
    <cacheField name="campaign_id" numFmtId="0">
      <sharedItems/>
    </cacheField>
    <cacheField name="Dny (order_date)" numFmtId="0" databaseField="0">
      <fieldGroup base="1">
        <rangePr groupBy="days" startDate="2025-01-05T00:00:00" endDate="2025-12-23T00:00:00"/>
        <groupItems count="368">
          <s v="&lt;05.01.2025"/>
          <s v="01.I"/>
          <s v="02.I"/>
          <s v="03.I"/>
          <s v="04.I"/>
          <s v="05.I"/>
          <s v="06.I"/>
          <s v="07.I"/>
          <s v="08.I"/>
          <s v="09.I"/>
          <s v="10.I"/>
          <s v="11.I"/>
          <s v="12.I"/>
          <s v="13.I"/>
          <s v="14.I"/>
          <s v="15.I"/>
          <s v="16.I"/>
          <s v="17.I"/>
          <s v="18.I"/>
          <s v="19.I"/>
          <s v="20.I"/>
          <s v="21.I"/>
          <s v="22.I"/>
          <s v="23.I"/>
          <s v="24.I"/>
          <s v="25.I"/>
          <s v="26.I"/>
          <s v="27.I"/>
          <s v="28.I"/>
          <s v="29.I"/>
          <s v="30.I"/>
          <s v="31.I"/>
          <s v="01.II"/>
          <s v="02.II"/>
          <s v="03.II"/>
          <s v="04.II"/>
          <s v="05.II"/>
          <s v="06.II"/>
          <s v="07.II"/>
          <s v="08.II"/>
          <s v="09.II"/>
          <s v="10.II"/>
          <s v="11.II"/>
          <s v="12.II"/>
          <s v="13.II"/>
          <s v="14.II"/>
          <s v="15.II"/>
          <s v="16.II"/>
          <s v="17.II"/>
          <s v="18.II"/>
          <s v="19.II"/>
          <s v="20.II"/>
          <s v="21.II"/>
          <s v="22.II"/>
          <s v="23.II"/>
          <s v="24.II"/>
          <s v="25.II"/>
          <s v="26.II"/>
          <s v="27.II"/>
          <s v="28.II"/>
          <s v="29.II"/>
          <s v="01.III"/>
          <s v="02.III"/>
          <s v="03.III"/>
          <s v="04.III"/>
          <s v="05.III"/>
          <s v="06.III"/>
          <s v="07.III"/>
          <s v="08.III"/>
          <s v="09.III"/>
          <s v="10.III"/>
          <s v="11.III"/>
          <s v="12.III"/>
          <s v="13.III"/>
          <s v="14.III"/>
          <s v="15.III"/>
          <s v="16.III"/>
          <s v="17.III"/>
          <s v="18.III"/>
          <s v="19.III"/>
          <s v="20.III"/>
          <s v="21.III"/>
          <s v="22.III"/>
          <s v="23.III"/>
          <s v="24.III"/>
          <s v="25.III"/>
          <s v="26.III"/>
          <s v="27.III"/>
          <s v="28.III"/>
          <s v="29.III"/>
          <s v="30.III"/>
          <s v="31.III"/>
          <s v="01.IV"/>
          <s v="02.IV"/>
          <s v="03.IV"/>
          <s v="04.IV"/>
          <s v="05.IV"/>
          <s v="06.IV"/>
          <s v="07.IV"/>
          <s v="08.IV"/>
          <s v="09.IV"/>
          <s v="10.IV"/>
          <s v="11.IV"/>
          <s v="12.IV"/>
          <s v="13.IV"/>
          <s v="14.IV"/>
          <s v="15.IV"/>
          <s v="16.IV"/>
          <s v="17.IV"/>
          <s v="18.IV"/>
          <s v="19.IV"/>
          <s v="20.IV"/>
          <s v="21.IV"/>
          <s v="22.IV"/>
          <s v="23.IV"/>
          <s v="24.IV"/>
          <s v="25.IV"/>
          <s v="26.IV"/>
          <s v="27.IV"/>
          <s v="28.IV"/>
          <s v="29.IV"/>
          <s v="30.IV"/>
          <s v="01.V"/>
          <s v="02.V"/>
          <s v="03.V"/>
          <s v="04.V"/>
          <s v="05.V"/>
          <s v="06.V"/>
          <s v="07.V"/>
          <s v="08.V"/>
          <s v="09.V"/>
          <s v="10.V"/>
          <s v="11.V"/>
          <s v="12.V"/>
          <s v="13.V"/>
          <s v="14.V"/>
          <s v="15.V"/>
          <s v="16.V"/>
          <s v="17.V"/>
          <s v="18.V"/>
          <s v="19.V"/>
          <s v="20.V"/>
          <s v="21.V"/>
          <s v="22.V"/>
          <s v="23.V"/>
          <s v="24.V"/>
          <s v="25.V"/>
          <s v="26.V"/>
          <s v="27.V"/>
          <s v="28.V"/>
          <s v="29.V"/>
          <s v="30.V"/>
          <s v="31.V"/>
          <s v="01.VI"/>
          <s v="02.VI"/>
          <s v="03.VI"/>
          <s v="04.VI"/>
          <s v="05.VI"/>
          <s v="06.VI"/>
          <s v="07.VI"/>
          <s v="08.VI"/>
          <s v="09.VI"/>
          <s v="10.VI"/>
          <s v="11.VI"/>
          <s v="12.VI"/>
          <s v="13.VI"/>
          <s v="14.VI"/>
          <s v="15.VI"/>
          <s v="16.VI"/>
          <s v="17.VI"/>
          <s v="18.VI"/>
          <s v="19.VI"/>
          <s v="20.VI"/>
          <s v="21.VI"/>
          <s v="22.VI"/>
          <s v="23.VI"/>
          <s v="24.VI"/>
          <s v="25.VI"/>
          <s v="26.VI"/>
          <s v="27.VI"/>
          <s v="28.VI"/>
          <s v="29.VI"/>
          <s v="30.VI"/>
          <s v="01.VII"/>
          <s v="02.VII"/>
          <s v="03.VII"/>
          <s v="04.VII"/>
          <s v="05.VII"/>
          <s v="06.VII"/>
          <s v="07.VII"/>
          <s v="08.VII"/>
          <s v="09.VII"/>
          <s v="10.VII"/>
          <s v="11.VII"/>
          <s v="12.VII"/>
          <s v="13.VII"/>
          <s v="14.VII"/>
          <s v="15.VII"/>
          <s v="16.VII"/>
          <s v="17.VII"/>
          <s v="18.VII"/>
          <s v="19.VII"/>
          <s v="20.VII"/>
          <s v="21.VII"/>
          <s v="22.VII"/>
          <s v="23.VII"/>
          <s v="24.VII"/>
          <s v="25.VII"/>
          <s v="26.VII"/>
          <s v="27.VII"/>
          <s v="28.VII"/>
          <s v="29.VII"/>
          <s v="30.VII"/>
          <s v="31.VII"/>
          <s v="01.VIII"/>
          <s v="02.VIII"/>
          <s v="03.VIII"/>
          <s v="04.VIII"/>
          <s v="05.VIII"/>
          <s v="06.VIII"/>
          <s v="07.VIII"/>
          <s v="08.VIII"/>
          <s v="09.VIII"/>
          <s v="10.VIII"/>
          <s v="11.VIII"/>
          <s v="12.VIII"/>
          <s v="13.VIII"/>
          <s v="14.VIII"/>
          <s v="15.VIII"/>
          <s v="16.VIII"/>
          <s v="17.VIII"/>
          <s v="18.VIII"/>
          <s v="19.VIII"/>
          <s v="20.VIII"/>
          <s v="21.VIII"/>
          <s v="22.VIII"/>
          <s v="23.VIII"/>
          <s v="24.VIII"/>
          <s v="25.VIII"/>
          <s v="26.VIII"/>
          <s v="27.VIII"/>
          <s v="28.VIII"/>
          <s v="29.VIII"/>
          <s v="30.VIII"/>
          <s v="31.VIII"/>
          <s v="01.IX"/>
          <s v="02.IX"/>
          <s v="03.IX"/>
          <s v="04.IX"/>
          <s v="05.IX"/>
          <s v="06.IX"/>
          <s v="07.IX"/>
          <s v="08.IX"/>
          <s v="09.IX"/>
          <s v="10.IX"/>
          <s v="11.IX"/>
          <s v="12.IX"/>
          <s v="13.IX"/>
          <s v="14.IX"/>
          <s v="15.IX"/>
          <s v="16.IX"/>
          <s v="17.IX"/>
          <s v="18.IX"/>
          <s v="19.IX"/>
          <s v="20.IX"/>
          <s v="21.IX"/>
          <s v="22.IX"/>
          <s v="23.IX"/>
          <s v="24.IX"/>
          <s v="25.IX"/>
          <s v="26.IX"/>
          <s v="27.IX"/>
          <s v="28.IX"/>
          <s v="29.IX"/>
          <s v="30.IX"/>
          <s v="01.X"/>
          <s v="02.X"/>
          <s v="03.X"/>
          <s v="04.X"/>
          <s v="05.X"/>
          <s v="06.X"/>
          <s v="07.X"/>
          <s v="08.X"/>
          <s v="09.X"/>
          <s v="10.X"/>
          <s v="11.X"/>
          <s v="12.X"/>
          <s v="13.X"/>
          <s v="14.X"/>
          <s v="15.X"/>
          <s v="16.X"/>
          <s v="17.X"/>
          <s v="18.X"/>
          <s v="19.X"/>
          <s v="20.X"/>
          <s v="21.X"/>
          <s v="22.X"/>
          <s v="23.X"/>
          <s v="24.X"/>
          <s v="25.X"/>
          <s v="26.X"/>
          <s v="27.X"/>
          <s v="28.X"/>
          <s v="29.X"/>
          <s v="30.X"/>
          <s v="31.X"/>
          <s v="01.XI"/>
          <s v="02.XI"/>
          <s v="03.XI"/>
          <s v="04.XI"/>
          <s v="05.XI"/>
          <s v="06.XI"/>
          <s v="07.XI"/>
          <s v="08.XI"/>
          <s v="09.XI"/>
          <s v="10.XI"/>
          <s v="11.XI"/>
          <s v="12.XI"/>
          <s v="13.XI"/>
          <s v="14.XI"/>
          <s v="15.XI"/>
          <s v="16.XI"/>
          <s v="17.XI"/>
          <s v="18.XI"/>
          <s v="19.XI"/>
          <s v="20.XI"/>
          <s v="21.XI"/>
          <s v="22.XI"/>
          <s v="23.XI"/>
          <s v="24.XI"/>
          <s v="25.XI"/>
          <s v="26.XI"/>
          <s v="27.XI"/>
          <s v="28.XI"/>
          <s v="29.XI"/>
          <s v="30.XI"/>
          <s v="01.XII"/>
          <s v="02.XII"/>
          <s v="03.XII"/>
          <s v="04.XII"/>
          <s v="05.XII"/>
          <s v="06.XII"/>
          <s v="07.XII"/>
          <s v="08.XII"/>
          <s v="09.XII"/>
          <s v="10.XII"/>
          <s v="11.XII"/>
          <s v="12.XII"/>
          <s v="13.XII"/>
          <s v="14.XII"/>
          <s v="15.XII"/>
          <s v="16.XII"/>
          <s v="17.XII"/>
          <s v="18.XII"/>
          <s v="19.XII"/>
          <s v="20.XII"/>
          <s v="21.XII"/>
          <s v="22.XII"/>
          <s v="23.XII"/>
          <s v="24.XII"/>
          <s v="25.XII"/>
          <s v="26.XII"/>
          <s v="27.XII"/>
          <s v="28.XII"/>
          <s v="29.XII"/>
          <s v="30.XII"/>
          <s v="31.XII"/>
          <s v="&gt;23.12.2025"/>
        </groupItems>
      </fieldGroup>
    </cacheField>
    <cacheField name="Měsíce (order_date)" numFmtId="0" databaseField="0">
      <fieldGroup base="1">
        <rangePr groupBy="months" startDate="2025-01-05T00:00:00" endDate="2025-12-23T00:00:00"/>
        <groupItems count="14">
          <s v="&lt;05.01.2025"/>
          <s v="I"/>
          <s v="II"/>
          <s v="III"/>
          <s v="IV"/>
          <s v="V"/>
          <s v="VI"/>
          <s v="VII"/>
          <s v="VIII"/>
          <s v="IX"/>
          <s v="X"/>
          <s v="XI"/>
          <s v="XII"/>
          <s v="&gt;23.12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tišek Papst" refreshedDate="46166.474794791669" createdVersion="8" refreshedVersion="8" minRefreshableVersion="3" recordCount="12" xr:uid="{DB584F45-E9DB-4CDF-9FFB-442A294F8D1E}">
  <cacheSource type="worksheet">
    <worksheetSource name="marketing_data"/>
  </cacheSource>
  <cacheFields count="14">
    <cacheField name="campaign_id" numFmtId="0">
      <sharedItems/>
    </cacheField>
    <cacheField name="campaign_name" numFmtId="0">
      <sharedItems/>
    </cacheField>
    <cacheField name="channel" numFmtId="0">
      <sharedItems count="4">
        <s v="Google Ads"/>
        <s v="Meta Ads"/>
        <s v="Email"/>
        <s v="YouTube"/>
      </sharedItems>
    </cacheField>
    <cacheField name="start_date" numFmtId="14">
      <sharedItems containsSemiMixedTypes="0" containsNonDate="0" containsDate="1" containsString="0" minDate="2025-01-01T00:00:00" maxDate="2025-12-02T00:00:00"/>
    </cacheField>
    <cacheField name="end_date" numFmtId="14">
      <sharedItems containsSemiMixedTypes="0" containsNonDate="0" containsDate="1" containsString="0" minDate="2025-03-31T00:00:00" maxDate="2026-01-01T00:00:00"/>
    </cacheField>
    <cacheField name="spend" numFmtId="0">
      <sharedItems containsSemiMixedTypes="0" containsString="0" containsNumber="1" containsInteger="1" minValue="25000" maxValue="210000"/>
    </cacheField>
    <cacheField name="impressions" numFmtId="0">
      <sharedItems containsSemiMixedTypes="0" containsString="0" containsNumber="1" containsInteger="1" minValue="180000" maxValue="3200000"/>
    </cacheField>
    <cacheField name="clicks" numFmtId="0">
      <sharedItems containsSemiMixedTypes="0" containsString="0" containsNumber="1" containsInteger="1" minValue="21000" maxValue="118000"/>
    </cacheField>
    <cacheField name="conversions" numFmtId="0">
      <sharedItems containsSemiMixedTypes="0" containsString="0" containsNumber="1" containsInteger="1" minValue="2500" maxValue="13200"/>
    </cacheField>
    <cacheField name="revenue" numFmtId="0">
      <sharedItems containsSemiMixedTypes="0" containsString="0" containsNumber="1" containsInteger="1" minValue="420000" maxValue="4200000"/>
    </cacheField>
    <cacheField name="region" numFmtId="0">
      <sharedItems/>
    </cacheField>
    <cacheField name="ctr" numFmtId="9">
      <sharedItems containsSemiMixedTypes="0" containsString="0" containsNumber="1" minValue="2.3125E-2" maxValue="0.15454545454545454"/>
    </cacheField>
    <cacheField name="conversion_rate" numFmtId="9">
      <sharedItems containsSemiMixedTypes="0" containsString="0" containsNumber="1" minValue="7.0270270270270274E-2" maxValue="0.21176470588235294"/>
    </cacheField>
    <cacheField name="roas" numFmtId="2">
      <sharedItems containsSemiMixedTypes="0" containsString="0" containsNumber="1" minValue="10.315789473684211" maxValue="37.3333333333333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ORD-0001"/>
    <x v="0"/>
    <s v="CUST-001"/>
    <x v="0"/>
    <s v="Lenovo ThinkBook"/>
    <x v="0"/>
    <n v="1"/>
    <n v="28990"/>
    <n v="28990"/>
    <n v="23000"/>
    <n v="5990"/>
    <s v="CMP-001"/>
  </r>
  <r>
    <s v="ORD-0002"/>
    <x v="1"/>
    <s v="CUST-002"/>
    <x v="1"/>
    <s v="JBL Tune"/>
    <x v="1"/>
    <n v="2"/>
    <n v="2490"/>
    <n v="4980"/>
    <n v="3200"/>
    <n v="1780"/>
    <s v="CMP-002"/>
  </r>
  <r>
    <s v="ORD-0003"/>
    <x v="2"/>
    <s v="CUST-003"/>
    <x v="2"/>
    <s v="Apple Watch"/>
    <x v="2"/>
    <n v="1"/>
    <n v="11990"/>
    <n v="11990"/>
    <n v="9000"/>
    <n v="2990"/>
    <s v="CMP-001"/>
  </r>
  <r>
    <s v="ORD-0004"/>
    <x v="3"/>
    <s v="CUST-004"/>
    <x v="3"/>
    <s v="Mechanical Keyboard"/>
    <x v="3"/>
    <n v="1"/>
    <n v="3490"/>
    <n v="3490"/>
    <n v="2200"/>
    <n v="1290"/>
    <s v="CMP-003"/>
  </r>
  <r>
    <s v="ORD-0005"/>
    <x v="4"/>
    <s v="CUST-005"/>
    <x v="0"/>
    <s v="Sony WH"/>
    <x v="1"/>
    <n v="1"/>
    <n v="7990"/>
    <n v="7990"/>
    <n v="5800"/>
    <n v="2190"/>
    <s v="CMP-002"/>
  </r>
  <r>
    <s v="ORD-0006"/>
    <x v="5"/>
    <s v="CUST-006"/>
    <x v="2"/>
    <s v="ASUS ZenBook"/>
    <x v="0"/>
    <n v="2"/>
    <n v="31990"/>
    <n v="63980"/>
    <n v="51000"/>
    <n v="12980"/>
    <s v="CMP-004"/>
  </r>
  <r>
    <s v="ORD-0007"/>
    <x v="6"/>
    <s v="CUST-007"/>
    <x v="1"/>
    <s v="Galaxy Watch"/>
    <x v="2"/>
    <n v="1"/>
    <n v="8990"/>
    <n v="8990"/>
    <n v="6700"/>
    <n v="2290"/>
    <s v="CMP-001"/>
  </r>
  <r>
    <s v="ORD-0008"/>
    <x v="7"/>
    <s v="CUST-008"/>
    <x v="3"/>
    <s v="Logitech Mouse"/>
    <x v="3"/>
    <n v="3"/>
    <n v="1290"/>
    <n v="3870"/>
    <n v="1800"/>
    <n v="2070"/>
    <s v="CMP-003"/>
  </r>
  <r>
    <s v="ORD-0009"/>
    <x v="8"/>
    <s v="CUST-009"/>
    <x v="0"/>
    <s v="Soundcore Liberty"/>
    <x v="1"/>
    <n v="2"/>
    <n v="2990"/>
    <n v="5980"/>
    <n v="3600"/>
    <n v="2380"/>
    <s v="CMP-002"/>
  </r>
  <r>
    <s v="ORD-0010"/>
    <x v="9"/>
    <s v="CUST-010"/>
    <x v="0"/>
    <s v="HP ProBook"/>
    <x v="0"/>
    <n v="5"/>
    <n v="25990"/>
    <n v="129950"/>
    <n v="101000"/>
    <n v="28950"/>
    <s v="CMP-004"/>
  </r>
  <r>
    <s v="ORD-0011"/>
    <x v="10"/>
    <s v="CUST-011"/>
    <x v="1"/>
    <s v="Lenovo ThinkBook"/>
    <x v="0"/>
    <n v="1"/>
    <n v="28990"/>
    <n v="28990"/>
    <n v="23000"/>
    <n v="5990"/>
    <s v="CMP-001"/>
  </r>
  <r>
    <s v="ORD-0012"/>
    <x v="11"/>
    <s v="CUST-012"/>
    <x v="0"/>
    <s v="JBL Tune"/>
    <x v="1"/>
    <n v="1"/>
    <n v="2490"/>
    <n v="2490"/>
    <n v="1600"/>
    <n v="890"/>
    <s v="CMP-002"/>
  </r>
  <r>
    <s v="ORD-0013"/>
    <x v="12"/>
    <s v="CUST-013"/>
    <x v="3"/>
    <s v="Logitech Mouse"/>
    <x v="3"/>
    <n v="2"/>
    <n v="1290"/>
    <n v="2580"/>
    <n v="1200"/>
    <n v="1380"/>
    <s v="CMP-003"/>
  </r>
  <r>
    <s v="ORD-0014"/>
    <x v="13"/>
    <s v="CUST-014"/>
    <x v="2"/>
    <s v="Soundcore Liberty"/>
    <x v="1"/>
    <n v="1"/>
    <n v="2990"/>
    <n v="2990"/>
    <n v="1800"/>
    <n v="1190"/>
    <s v="CMP-002"/>
  </r>
  <r>
    <s v="ORD-0015"/>
    <x v="14"/>
    <s v="CUST-015"/>
    <x v="0"/>
    <s v="Apple Watch"/>
    <x v="2"/>
    <n v="2"/>
    <n v="11990"/>
    <n v="23980"/>
    <n v="18000"/>
    <n v="5980"/>
    <s v="CMP-001"/>
  </r>
  <r>
    <s v="ORD-0016"/>
    <x v="15"/>
    <s v="CUST-016"/>
    <x v="1"/>
    <s v="Mechanical Keyboard"/>
    <x v="3"/>
    <n v="3"/>
    <n v="3490"/>
    <n v="10470"/>
    <n v="6600"/>
    <n v="3870"/>
    <s v="CMP-003"/>
  </r>
  <r>
    <s v="ORD-0017"/>
    <x v="16"/>
    <s v="CUST-017"/>
    <x v="0"/>
    <s v="ASUS ZenBook"/>
    <x v="0"/>
    <n v="1"/>
    <n v="31990"/>
    <n v="31990"/>
    <n v="25500"/>
    <n v="6490"/>
    <s v="CMP-004"/>
  </r>
  <r>
    <s v="ORD-0018"/>
    <x v="17"/>
    <s v="CUST-018"/>
    <x v="3"/>
    <s v="Sony WH"/>
    <x v="1"/>
    <n v="2"/>
    <n v="7990"/>
    <n v="15980"/>
    <n v="11600"/>
    <n v="4380"/>
    <s v="CMP-002"/>
  </r>
  <r>
    <s v="ORD-0019"/>
    <x v="18"/>
    <s v="CUST-019"/>
    <x v="2"/>
    <s v="Galaxy Watch"/>
    <x v="2"/>
    <n v="1"/>
    <n v="8990"/>
    <n v="8990"/>
    <n v="6700"/>
    <n v="2290"/>
    <s v="CMP-001"/>
  </r>
  <r>
    <s v="ORD-0020"/>
    <x v="19"/>
    <s v="CUST-020"/>
    <x v="0"/>
    <s v="HP ProBook"/>
    <x v="0"/>
    <n v="3"/>
    <n v="25990"/>
    <n v="77970"/>
    <n v="62000"/>
    <n v="15970"/>
    <s v="CMP-004"/>
  </r>
  <r>
    <s v="ORD-0021"/>
    <x v="20"/>
    <s v="CUST-021"/>
    <x v="1"/>
    <s v="JBL Tune"/>
    <x v="1"/>
    <n v="4"/>
    <n v="2490"/>
    <n v="9960"/>
    <n v="6400"/>
    <n v="3560"/>
    <s v="CMP-002"/>
  </r>
  <r>
    <s v="ORD-0022"/>
    <x v="21"/>
    <s v="CUST-022"/>
    <x v="0"/>
    <s v="Lenovo ThinkBook"/>
    <x v="0"/>
    <n v="2"/>
    <n v="28990"/>
    <n v="57980"/>
    <n v="46000"/>
    <n v="11980"/>
    <s v="CMP-004"/>
  </r>
  <r>
    <s v="ORD-0023"/>
    <x v="22"/>
    <s v="CUST-023"/>
    <x v="3"/>
    <s v="Soundcore Liberty"/>
    <x v="1"/>
    <n v="5"/>
    <n v="2990"/>
    <n v="14950"/>
    <n v="9000"/>
    <n v="5950"/>
    <s v="CMP-002"/>
  </r>
  <r>
    <s v="ORD-0024"/>
    <x v="23"/>
    <s v="CUST-024"/>
    <x v="2"/>
    <s v="Mechanical Keyboard"/>
    <x v="3"/>
    <n v="2"/>
    <n v="3490"/>
    <n v="6980"/>
    <n v="4400"/>
    <n v="2580"/>
    <s v="CMP-003"/>
  </r>
  <r>
    <s v="ORD-0025"/>
    <x v="24"/>
    <s v="CUST-025"/>
    <x v="0"/>
    <s v="Apple Watch"/>
    <x v="2"/>
    <n v="1"/>
    <n v="11990"/>
    <n v="11990"/>
    <n v="9000"/>
    <n v="2990"/>
    <s v="CMP-001"/>
  </r>
  <r>
    <s v="ORD-0026"/>
    <x v="25"/>
    <s v="CUST-026"/>
    <x v="1"/>
    <s v="HP ProBook"/>
    <x v="0"/>
    <n v="1"/>
    <n v="25990"/>
    <n v="25990"/>
    <n v="20500"/>
    <n v="5490"/>
    <s v="CMP-004"/>
  </r>
  <r>
    <s v="ORD-0011"/>
    <x v="10"/>
    <s v="CUST-011"/>
    <x v="1"/>
    <s v="Lenovo ThinkBook"/>
    <x v="0"/>
    <n v="1"/>
    <n v="28990"/>
    <n v="28990"/>
    <n v="23000"/>
    <n v="5990"/>
    <s v="CMP-001"/>
  </r>
  <r>
    <s v="ORD-0012"/>
    <x v="11"/>
    <s v="CUST-012"/>
    <x v="0"/>
    <s v="JBL Tune"/>
    <x v="1"/>
    <n v="1"/>
    <n v="2490"/>
    <n v="2490"/>
    <n v="1600"/>
    <n v="890"/>
    <s v="CMP-002"/>
  </r>
  <r>
    <s v="ORD-0013"/>
    <x v="12"/>
    <s v="CUST-013"/>
    <x v="3"/>
    <s v="Logitech Mouse"/>
    <x v="3"/>
    <n v="2"/>
    <n v="1290"/>
    <n v="2580"/>
    <n v="1200"/>
    <n v="1380"/>
    <s v="CMP-003"/>
  </r>
  <r>
    <s v="ORD-0014"/>
    <x v="13"/>
    <s v="CUST-014"/>
    <x v="2"/>
    <s v="Soundcore Liberty"/>
    <x v="1"/>
    <n v="1"/>
    <n v="2990"/>
    <n v="2990"/>
    <n v="1800"/>
    <n v="1190"/>
    <s v="CMP-002"/>
  </r>
  <r>
    <s v="ORD-0015"/>
    <x v="14"/>
    <s v="CUST-015"/>
    <x v="0"/>
    <s v="Apple Watch"/>
    <x v="2"/>
    <n v="2"/>
    <n v="11990"/>
    <n v="23980"/>
    <n v="18000"/>
    <n v="5980"/>
    <s v="CMP-001"/>
  </r>
  <r>
    <s v="ORD-0016"/>
    <x v="15"/>
    <s v="CUST-016"/>
    <x v="1"/>
    <s v="Mechanical Keyboard"/>
    <x v="3"/>
    <n v="3"/>
    <n v="3490"/>
    <n v="10470"/>
    <n v="6600"/>
    <n v="3870"/>
    <s v="CMP-003"/>
  </r>
  <r>
    <s v="ORD-0017"/>
    <x v="16"/>
    <s v="CUST-017"/>
    <x v="0"/>
    <s v="ASUS ZenBook"/>
    <x v="0"/>
    <n v="1"/>
    <n v="31990"/>
    <n v="31990"/>
    <n v="25500"/>
    <n v="6490"/>
    <s v="CMP-004"/>
  </r>
  <r>
    <s v="ORD-0018"/>
    <x v="17"/>
    <s v="CUST-018"/>
    <x v="3"/>
    <s v="Sony WH"/>
    <x v="1"/>
    <n v="2"/>
    <n v="7990"/>
    <n v="15980"/>
    <n v="11600"/>
    <n v="4380"/>
    <s v="CMP-002"/>
  </r>
  <r>
    <s v="ORD-0019"/>
    <x v="18"/>
    <s v="CUST-019"/>
    <x v="2"/>
    <s v="Galaxy Watch"/>
    <x v="2"/>
    <n v="1"/>
    <n v="8990"/>
    <n v="8990"/>
    <n v="6700"/>
    <n v="2290"/>
    <s v="CMP-001"/>
  </r>
  <r>
    <s v="ORD-0020"/>
    <x v="19"/>
    <s v="CUST-020"/>
    <x v="0"/>
    <s v="HP ProBook"/>
    <x v="0"/>
    <n v="3"/>
    <n v="25990"/>
    <n v="77970"/>
    <n v="62000"/>
    <n v="15970"/>
    <s v="CMP-004"/>
  </r>
  <r>
    <s v="ORD-0021"/>
    <x v="20"/>
    <s v="CUST-021"/>
    <x v="1"/>
    <s v="JBL Tune"/>
    <x v="1"/>
    <n v="4"/>
    <n v="2490"/>
    <n v="9960"/>
    <n v="6400"/>
    <n v="3560"/>
    <s v="CMP-002"/>
  </r>
  <r>
    <s v="ORD-0022"/>
    <x v="21"/>
    <s v="CUST-022"/>
    <x v="0"/>
    <s v="Lenovo ThinkBook"/>
    <x v="0"/>
    <n v="2"/>
    <n v="28990"/>
    <n v="57980"/>
    <n v="46000"/>
    <n v="11980"/>
    <s v="CMP-004"/>
  </r>
  <r>
    <s v="ORD-0023"/>
    <x v="22"/>
    <s v="CUST-023"/>
    <x v="3"/>
    <s v="Soundcore Liberty"/>
    <x v="1"/>
    <n v="5"/>
    <n v="2990"/>
    <n v="14950"/>
    <n v="9000"/>
    <n v="5950"/>
    <s v="CMP-002"/>
  </r>
  <r>
    <s v="ORD-0024"/>
    <x v="23"/>
    <s v="CUST-024"/>
    <x v="2"/>
    <s v="Mechanical Keyboard"/>
    <x v="3"/>
    <n v="2"/>
    <n v="3490"/>
    <n v="6980"/>
    <n v="4400"/>
    <n v="2580"/>
    <s v="CMP-003"/>
  </r>
  <r>
    <s v="ORD-0025"/>
    <x v="24"/>
    <s v="CUST-025"/>
    <x v="0"/>
    <s v="Apple Watch"/>
    <x v="2"/>
    <n v="1"/>
    <n v="11990"/>
    <n v="11990"/>
    <n v="9000"/>
    <n v="2990"/>
    <s v="CMP-001"/>
  </r>
  <r>
    <s v="ORD-0026"/>
    <x v="25"/>
    <s v="CUST-026"/>
    <x v="1"/>
    <s v="HP ProBook"/>
    <x v="0"/>
    <n v="1"/>
    <n v="25990"/>
    <n v="25990"/>
    <n v="20500"/>
    <n v="5490"/>
    <s v="CMP-004"/>
  </r>
  <r>
    <s v="ORD-0027"/>
    <x v="26"/>
    <s v="CUST-027"/>
    <x v="0"/>
    <s v="Sony WH"/>
    <x v="1"/>
    <n v="8"/>
    <n v="7990"/>
    <n v="63920"/>
    <n v="46000"/>
    <n v="17920"/>
    <s v="CMP-005"/>
  </r>
  <r>
    <s v="ORD-0028"/>
    <x v="27"/>
    <s v="CUST-028"/>
    <x v="3"/>
    <s v="JBL Tune"/>
    <x v="1"/>
    <n v="10"/>
    <n v="2490"/>
    <n v="24900"/>
    <n v="16000"/>
    <n v="8900"/>
    <s v="CMP-005"/>
  </r>
  <r>
    <s v="ORD-0029"/>
    <x v="28"/>
    <s v="CUST-029"/>
    <x v="2"/>
    <s v="Lenovo ThinkBook"/>
    <x v="0"/>
    <n v="4"/>
    <n v="28990"/>
    <n v="115960"/>
    <n v="91000"/>
    <n v="24960"/>
    <s v="CMP-006"/>
  </r>
  <r>
    <s v="ORD-0030"/>
    <x v="29"/>
    <s v="CUST-030"/>
    <x v="0"/>
    <s v="Galaxy Watch"/>
    <x v="2"/>
    <n v="6"/>
    <n v="8990"/>
    <n v="53940"/>
    <n v="40200"/>
    <n v="13740"/>
    <s v="CMP-006"/>
  </r>
  <r>
    <s v="ORD-0031"/>
    <x v="30"/>
    <s v="CUST-031"/>
    <x v="0"/>
    <s v="Soundcore Liberty"/>
    <x v="1"/>
    <n v="15"/>
    <n v="2990"/>
    <n v="44850"/>
    <n v="27000"/>
    <n v="17850"/>
    <s v="CMP-007"/>
  </r>
  <r>
    <s v="ORD-0032"/>
    <x v="31"/>
    <s v="CUST-032"/>
    <x v="1"/>
    <s v="Mechanical Keyboard"/>
    <x v="3"/>
    <n v="12"/>
    <n v="3490"/>
    <n v="41880"/>
    <n v="26400"/>
    <n v="15480"/>
    <s v="CMP-007"/>
  </r>
  <r>
    <s v="ORD-0033"/>
    <x v="32"/>
    <s v="CUST-033"/>
    <x v="0"/>
    <s v="HP ProBook"/>
    <x v="0"/>
    <n v="7"/>
    <n v="25990"/>
    <n v="181930"/>
    <n v="145000"/>
    <n v="36930"/>
    <s v="CMP-008"/>
  </r>
  <r>
    <s v="ORD-0034"/>
    <x v="33"/>
    <s v="CUST-034"/>
    <x v="3"/>
    <s v="JBL Tune"/>
    <x v="1"/>
    <n v="20"/>
    <n v="2490"/>
    <n v="49800"/>
    <n v="32000"/>
    <n v="17800"/>
    <s v="CMP-007"/>
  </r>
  <r>
    <s v="ORD-0035"/>
    <x v="34"/>
    <s v="CUST-035"/>
    <x v="2"/>
    <s v="Apple Watch"/>
    <x v="2"/>
    <n v="5"/>
    <n v="11990"/>
    <n v="59950"/>
    <n v="45000"/>
    <n v="14950"/>
    <s v="CMP-008"/>
  </r>
  <r>
    <s v="ORD-0036"/>
    <x v="35"/>
    <s v="CUST-036"/>
    <x v="0"/>
    <s v="Lenovo ThinkBook"/>
    <x v="0"/>
    <n v="10"/>
    <n v="28990"/>
    <n v="289900"/>
    <n v="225000"/>
    <n v="64900"/>
    <s v="CMP-009"/>
  </r>
  <r>
    <s v="ORD-0037"/>
    <x v="36"/>
    <s v="CUST-037"/>
    <x v="1"/>
    <s v="Sony WH"/>
    <x v="1"/>
    <n v="14"/>
    <n v="7990"/>
    <n v="111860"/>
    <n v="81200"/>
    <n v="30660"/>
    <s v="CMP-009"/>
  </r>
  <r>
    <s v="ORD-0038"/>
    <x v="37"/>
    <s v="CUST-038"/>
    <x v="0"/>
    <s v="Apple Watch"/>
    <x v="2"/>
    <n v="9"/>
    <n v="11990"/>
    <n v="107910"/>
    <n v="81000"/>
    <n v="26910"/>
    <s v="CMP-010"/>
  </r>
  <r>
    <s v="ORD-0039"/>
    <x v="38"/>
    <s v="CUST-039"/>
    <x v="2"/>
    <s v="HP ProBook"/>
    <x v="0"/>
    <n v="12"/>
    <n v="25990"/>
    <n v="311880"/>
    <n v="246000"/>
    <n v="65880"/>
    <s v="CMP-010"/>
  </r>
  <r>
    <s v="ORD-0040"/>
    <x v="39"/>
    <s v="CUST-040"/>
    <x v="0"/>
    <s v="ASUS ZenBook"/>
    <x v="0"/>
    <n v="15"/>
    <n v="31990"/>
    <n v="479850"/>
    <n v="375000"/>
    <n v="104850"/>
    <s v="CMP-0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CMP-001"/>
    <s v="Winter Wearables Push"/>
    <x v="0"/>
    <d v="2025-01-01T00:00:00"/>
    <d v="2025-03-31T00:00:00"/>
    <n v="120000"/>
    <n v="850000"/>
    <n v="42000"/>
    <n v="5200"/>
    <n v="1450000"/>
    <s v="Praha"/>
    <n v="4.9411764705882349E-2"/>
    <n v="0.12380952380952381"/>
    <n v="12.083333333333334"/>
  </r>
  <r>
    <s v="CMP-002"/>
    <s v="Audio Campaign Q1"/>
    <x v="1"/>
    <d v="2025-01-01T00:00:00"/>
    <d v="2025-06-30T00:00:00"/>
    <n v="95000"/>
    <n v="1200000"/>
    <n v="51000"/>
    <n v="4100"/>
    <n v="980000"/>
    <s v="Brno"/>
    <n v="4.2500000000000003E-2"/>
    <n v="8.0392156862745104E-2"/>
    <n v="10.315789473684211"/>
  </r>
  <r>
    <s v="CMP-003"/>
    <s v="Accessories Boost"/>
    <x v="2"/>
    <d v="2025-01-15T00:00:00"/>
    <d v="2025-06-30T00:00:00"/>
    <n v="25000"/>
    <n v="180000"/>
    <n v="22000"/>
    <n v="3800"/>
    <n v="420000"/>
    <s v="Ostrava"/>
    <n v="0.12222222222222222"/>
    <n v="0.17272727272727273"/>
    <n v="16.8"/>
  </r>
  <r>
    <s v="CMP-004"/>
    <s v="Notebook Performance Campaign"/>
    <x v="0"/>
    <d v="2025-01-01T00:00:00"/>
    <d v="2025-08-31T00:00:00"/>
    <n v="180000"/>
    <n v="1400000"/>
    <n v="68000"/>
    <n v="7300"/>
    <n v="2650000"/>
    <s v="Praha"/>
    <n v="4.8571428571428571E-2"/>
    <n v="0.10735294117647058"/>
    <n v="14.722222222222221"/>
  </r>
  <r>
    <s v="CMP-005"/>
    <s v="Back To School Audio"/>
    <x v="1"/>
    <d v="2025-09-01T00:00:00"/>
    <d v="2025-09-30T00:00:00"/>
    <n v="70000"/>
    <n v="980000"/>
    <n v="46000"/>
    <n v="3900"/>
    <n v="890000"/>
    <s v="Ostrava"/>
    <n v="4.6938775510204082E-2"/>
    <n v="8.478260869565217E-2"/>
    <n v="12.714285714285714"/>
  </r>
  <r>
    <s v="CMP-006"/>
    <s v="Autumn Tech Campaign"/>
    <x v="0"/>
    <d v="2025-10-01T00:00:00"/>
    <d v="2025-10-31T00:00:00"/>
    <n v="85000"/>
    <n v="760000"/>
    <n v="39000"/>
    <n v="4700"/>
    <n v="1320000"/>
    <s v="Plzeň"/>
    <n v="5.131578947368421E-2"/>
    <n v="0.12051282051282051"/>
    <n v="15.529411764705882"/>
  </r>
  <r>
    <s v="CMP-007"/>
    <s v="Black Friday Audio Blast"/>
    <x v="1"/>
    <d v="2025-11-01T00:00:00"/>
    <d v="2025-11-30T00:00:00"/>
    <n v="140000"/>
    <n v="2100000"/>
    <n v="98000"/>
    <n v="9100"/>
    <n v="2450000"/>
    <s v="Praha"/>
    <n v="4.6666666666666669E-2"/>
    <n v="9.285714285714286E-2"/>
    <n v="17.5"/>
  </r>
  <r>
    <s v="CMP-008"/>
    <s v="Premium Notebook Push"/>
    <x v="3"/>
    <d v="2025-11-01T00:00:00"/>
    <d v="2025-11-30T00:00:00"/>
    <n v="165000"/>
    <n v="3200000"/>
    <n v="74000"/>
    <n v="5200"/>
    <n v="2750000"/>
    <s v="Praha"/>
    <n v="2.3125E-2"/>
    <n v="7.0270270270270274E-2"/>
    <n v="16.666666666666668"/>
  </r>
  <r>
    <s v="CMP-009"/>
    <s v="Holiday Electronics Campaign"/>
    <x v="0"/>
    <d v="2025-12-01T00:00:00"/>
    <d v="2025-12-20T00:00:00"/>
    <n v="210000"/>
    <n v="2600000"/>
    <n v="118000"/>
    <n v="13200"/>
    <n v="4200000"/>
    <s v="Brno"/>
    <n v="4.5384615384615384E-2"/>
    <n v="0.11186440677966102"/>
    <n v="20"/>
  </r>
  <r>
    <s v="CMP-010"/>
    <s v="Christmas VIP Campaign"/>
    <x v="2"/>
    <d v="2025-12-01T00:00:00"/>
    <d v="2025-12-31T00:00:00"/>
    <n v="45000"/>
    <n v="220000"/>
    <n v="34000"/>
    <n v="7200"/>
    <n v="1680000"/>
    <s v="Praha"/>
    <n v="0.15454545454545454"/>
    <n v="0.21176470588235294"/>
    <n v="37.333333333333336"/>
  </r>
  <r>
    <s v="CMP-A"/>
    <s v="A/B Test Banner A"/>
    <x v="1"/>
    <d v="2025-11-10T00:00:00"/>
    <d v="2025-11-20T00:00:00"/>
    <n v="30000"/>
    <n v="450000"/>
    <n v="21000"/>
    <n v="2500"/>
    <n v="520000"/>
    <s v="Praha"/>
    <n v="4.6666666666666669E-2"/>
    <n v="0.11904761904761904"/>
    <n v="17.333333333333332"/>
  </r>
  <r>
    <s v="CMP-B"/>
    <s v="A/B Test Banner B"/>
    <x v="1"/>
    <d v="2025-11-10T00:00:00"/>
    <d v="2025-11-20T00:00:00"/>
    <n v="31500"/>
    <n v="452000"/>
    <n v="21500"/>
    <n v="3200"/>
    <n v="690000"/>
    <s v="Praha"/>
    <n v="4.7566371681415927E-2"/>
    <n v="0.14883720930232558"/>
    <n v="21.9047619047619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C207E-32B7-4B88-AD71-18082F592D9A}" name="Kontingenční tabulka3" cacheId="5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B16" firstHeaderRow="1" firstDataRow="1" firstDataCol="1"/>
  <pivotFields count="14">
    <pivotField showAll="0"/>
    <pivotField numFmtId="1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učet z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10B02-E921-454C-89EF-EC4CB3963BF5}" name="Kontingenční tabulka2" cacheId="5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C8" firstHeaderRow="0" firstDataRow="1" firstDataCol="1"/>
  <pivotFields count="14">
    <pivotField showAll="0"/>
    <pivotField numFmtId="1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učet z revenue" fld="8" baseField="0" baseItem="0"/>
    <dataField name="Součet z profi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D5322-7F2A-4A69-8545-67DA3616118D}" name="Kontingenční tabulka1" cacheId="5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C8" firstHeaderRow="0" firstDataRow="1" firstDataCol="1"/>
  <pivotFields count="14">
    <pivotField showAll="0"/>
    <pivotField numFmtId="1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učet z revenue" fld="8" baseField="0" baseItem="0"/>
    <dataField name="Součet z profi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72B11-B4FD-48FF-8B28-FF0E2ACE8F38}" name="Kontingenční tabulka4" cacheId="9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E8" firstHeaderRow="0" firstDataRow="1" firstDataCol="1"/>
  <pivotFields count="14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numFmtId="14" showAll="0"/>
    <pivotField numFmtId="14" showAll="0"/>
    <pivotField dataField="1" showAll="0"/>
    <pivotField showAll="0"/>
    <pivotField showAll="0"/>
    <pivotField showAll="0"/>
    <pivotField dataField="1" showAll="0"/>
    <pivotField showAll="0"/>
    <pivotField numFmtId="9" showAll="0"/>
    <pivotField dataField="1" numFmtId="9" showAll="0"/>
    <pivotField dataField="1"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ůměr z roas" fld="13" subtotal="average" baseField="0" baseItem="0" numFmtId="2"/>
    <dataField name="Součet z revenue" fld="9" baseField="0" baseItem="0"/>
    <dataField name="Součet z spend" fld="5" baseField="0" baseItem="0"/>
    <dataField name="Průměr z conversion_rate" fld="12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0C337F-7D24-4029-B1A1-B64C77366A25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customer_id" tableColumnId="3"/>
      <queryTableField id="4" name="region" tableColumnId="4"/>
      <queryTableField id="5" name="product" tableColumnId="5"/>
      <queryTableField id="6" name="category" tableColumnId="6"/>
      <queryTableField id="7" name="quantity" tableColumnId="7"/>
      <queryTableField id="8" name="unit_price" tableColumnId="8"/>
      <queryTableField id="9" name="revenue" tableColumnId="9"/>
      <queryTableField id="10" name="cost" tableColumnId="10"/>
      <queryTableField id="11" name="profit" tableColumnId="11"/>
      <queryTableField id="12" name="campaign_id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ACFABE-82D8-48EE-A694-9FEE1E900389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campaign_id" tableColumnId="1"/>
      <queryTableField id="2" name="campaign_name" tableColumnId="2"/>
      <queryTableField id="3" name="channel" tableColumnId="3"/>
      <queryTableField id="4" name="start_date" tableColumnId="4"/>
      <queryTableField id="5" name="end_date" tableColumnId="5"/>
      <queryTableField id="6" name="spend" tableColumnId="6"/>
      <queryTableField id="7" name="impressions" tableColumnId="7"/>
      <queryTableField id="8" name="clicks" tableColumnId="8"/>
      <queryTableField id="9" name="conversions" tableColumnId="9"/>
      <queryTableField id="10" name="revenue" tableColumnId="10"/>
      <queryTableField id="11" name="region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99F72C-1BBF-4DAF-9B94-07BFF9C56C05}" name="sales_data" displayName="sales_data" ref="A1:L57" tableType="queryTable" totalsRowShown="0">
  <autoFilter ref="A1:L57" xr:uid="{0A99F72C-1BBF-4DAF-9B94-07BFF9C56C05}"/>
  <tableColumns count="12">
    <tableColumn id="1" xr3:uid="{76E64316-C08C-4C38-A97E-A43E056C971B}" uniqueName="1" name="order_id" queryTableFieldId="1" dataDxfId="13"/>
    <tableColumn id="2" xr3:uid="{D1347EFA-98B1-4F2F-A1E5-AD6FF2E1CC6A}" uniqueName="2" name="order_date" queryTableFieldId="2" dataDxfId="12"/>
    <tableColumn id="3" xr3:uid="{9D1C3E66-46BE-4AB9-B2FC-F6BDA81B3AFE}" uniqueName="3" name="customer_id" queryTableFieldId="3" dataDxfId="11"/>
    <tableColumn id="4" xr3:uid="{3E4E50C7-CCBF-4170-BC87-BA713095CB2D}" uniqueName="4" name="region" queryTableFieldId="4" dataDxfId="10"/>
    <tableColumn id="5" xr3:uid="{DAD7FB1B-6351-479C-A255-514656C19AB0}" uniqueName="5" name="product" queryTableFieldId="5" dataDxfId="9"/>
    <tableColumn id="6" xr3:uid="{84CDA98E-85E0-43AC-924A-583660348C8C}" uniqueName="6" name="category" queryTableFieldId="6" dataDxfId="8"/>
    <tableColumn id="7" xr3:uid="{E4681320-3A43-4D8C-8562-FCD5D4EE37FD}" uniqueName="7" name="quantity" queryTableFieldId="7"/>
    <tableColumn id="8" xr3:uid="{998A87E8-0856-4E1A-AA5C-60A916BAEA19}" uniqueName="8" name="unit_price" queryTableFieldId="8"/>
    <tableColumn id="9" xr3:uid="{599EF8ED-FB0D-436E-BB4E-AF1B89244617}" uniqueName="9" name="revenue" queryTableFieldId="9"/>
    <tableColumn id="10" xr3:uid="{5ABA9DE8-CAB7-481E-B9FA-3D456F4CB758}" uniqueName="10" name="cost" queryTableFieldId="10"/>
    <tableColumn id="11" xr3:uid="{D42DC96F-9C13-4F81-90A2-7346DC197B09}" uniqueName="11" name="profit" queryTableFieldId="11"/>
    <tableColumn id="12" xr3:uid="{EE6FB12B-DABA-45BE-9A62-8AF4DDF3DF92}" uniqueName="12" name="campaign_id" queryTableFieldId="12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D25AF8-F17F-41EB-8819-B7AA306B0DBE}" name="marketing_data" displayName="marketing_data" ref="A1:N13" tableType="queryTable" totalsRowShown="0">
  <autoFilter ref="A1:N13" xr:uid="{20D25AF8-F17F-41EB-8819-B7AA306B0DBE}"/>
  <tableColumns count="14">
    <tableColumn id="1" xr3:uid="{65AA9987-D5D8-43CF-B42A-0B6B8DDBED03}" uniqueName="1" name="campaign_id" queryTableFieldId="1" dataDxfId="6"/>
    <tableColumn id="2" xr3:uid="{6888304E-DE9D-4096-A052-7D6A6B0A6FE8}" uniqueName="2" name="campaign_name" queryTableFieldId="2" dataDxfId="5"/>
    <tableColumn id="3" xr3:uid="{753AD013-E91D-43A4-A70A-1D0AA95BAA26}" uniqueName="3" name="channel" queryTableFieldId="3" dataDxfId="4"/>
    <tableColumn id="4" xr3:uid="{A34D85BC-6595-4F17-A4C1-5849962995CA}" uniqueName="4" name="start_date" queryTableFieldId="4" dataDxfId="3"/>
    <tableColumn id="5" xr3:uid="{1D34688E-63BD-4CD2-A0A8-C867306BCE6E}" uniqueName="5" name="end_date" queryTableFieldId="5" dataDxfId="2"/>
    <tableColumn id="6" xr3:uid="{E89BBDD4-6E8E-47B0-BE69-F87E397DFF86}" uniqueName="6" name="spend" queryTableFieldId="6"/>
    <tableColumn id="7" xr3:uid="{5538AE43-3221-4DEB-81F2-57FBBA9688EC}" uniqueName="7" name="impressions" queryTableFieldId="7"/>
    <tableColumn id="8" xr3:uid="{F709C2BD-7DC2-4583-8B75-FAA400E4C360}" uniqueName="8" name="clicks" queryTableFieldId="8"/>
    <tableColumn id="9" xr3:uid="{61CE6171-8C9D-4376-95D2-68705508BB95}" uniqueName="9" name="conversions" queryTableFieldId="9"/>
    <tableColumn id="10" xr3:uid="{B1A9A1D2-14F9-446C-8C8D-4F5FD1182C81}" uniqueName="10" name="revenue" queryTableFieldId="10"/>
    <tableColumn id="11" xr3:uid="{E1148A45-49E8-447C-9097-BFBE7D37DBA2}" uniqueName="11" name="region" queryTableFieldId="11" dataDxfId="1"/>
    <tableColumn id="12" xr3:uid="{FF46A8FC-965E-4D12-A489-1BADC5DCAEF5}" uniqueName="12" name="ctr" queryTableFieldId="12" dataCellStyle="Procenta">
      <calculatedColumnFormula>H2/G2</calculatedColumnFormula>
    </tableColumn>
    <tableColumn id="13" xr3:uid="{53A1421A-A954-475B-B3F1-1B1A7AAAB73E}" uniqueName="13" name="conversion_rate" queryTableFieldId="13" dataCellStyle="Procenta">
      <calculatedColumnFormula>I2/H2</calculatedColumnFormula>
    </tableColumn>
    <tableColumn id="14" xr3:uid="{53A71A3F-FC7D-4806-A78B-DF973B63D36E}" uniqueName="14" name="roas" queryTableFieldId="14" dataDxfId="0">
      <calculatedColumnFormula>J2/F2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5281-B3DA-4C1B-990B-4B3EEBB8652E}">
  <sheetPr>
    <tabColor theme="6" tint="0.79998168889431442"/>
  </sheetPr>
  <dimension ref="A1:C69"/>
  <sheetViews>
    <sheetView tabSelected="1" zoomScale="130" zoomScaleNormal="130" workbookViewId="0">
      <selection activeCell="B53" sqref="B53"/>
    </sheetView>
  </sheetViews>
  <sheetFormatPr defaultRowHeight="14.4" x14ac:dyDescent="0.3"/>
  <cols>
    <col min="2" max="2" width="45" bestFit="1" customWidth="1"/>
  </cols>
  <sheetData>
    <row r="1" spans="1:2" x14ac:dyDescent="0.3">
      <c r="A1" t="s">
        <v>252</v>
      </c>
    </row>
    <row r="2" spans="1:2" x14ac:dyDescent="0.3">
      <c r="B2" s="23" t="s">
        <v>184</v>
      </c>
    </row>
    <row r="4" spans="1:2" x14ac:dyDescent="0.3">
      <c r="B4" t="s">
        <v>185</v>
      </c>
    </row>
    <row r="6" spans="1:2" x14ac:dyDescent="0.3">
      <c r="B6" t="s">
        <v>226</v>
      </c>
    </row>
    <row r="7" spans="1:2" x14ac:dyDescent="0.3">
      <c r="B7" t="s">
        <v>227</v>
      </c>
    </row>
    <row r="9" spans="1:2" x14ac:dyDescent="0.3">
      <c r="B9" s="23" t="s">
        <v>186</v>
      </c>
    </row>
    <row r="11" spans="1:2" x14ac:dyDescent="0.3">
      <c r="B11" t="s">
        <v>224</v>
      </c>
    </row>
    <row r="12" spans="1:2" x14ac:dyDescent="0.3">
      <c r="B12" t="s">
        <v>225</v>
      </c>
    </row>
    <row r="14" spans="1:2" x14ac:dyDescent="0.3">
      <c r="B14" t="s">
        <v>223</v>
      </c>
    </row>
    <row r="15" spans="1:2" x14ac:dyDescent="0.3">
      <c r="B15" t="s">
        <v>221</v>
      </c>
    </row>
    <row r="16" spans="1:2" x14ac:dyDescent="0.3">
      <c r="B16" t="s">
        <v>222</v>
      </c>
    </row>
    <row r="18" spans="2:3" x14ac:dyDescent="0.3">
      <c r="B18" s="23" t="s">
        <v>150</v>
      </c>
    </row>
    <row r="20" spans="2:3" x14ac:dyDescent="0.3">
      <c r="B20" t="s">
        <v>235</v>
      </c>
    </row>
    <row r="21" spans="2:3" x14ac:dyDescent="0.3">
      <c r="C21" t="s">
        <v>255</v>
      </c>
    </row>
    <row r="22" spans="2:3" x14ac:dyDescent="0.3">
      <c r="C22" t="s">
        <v>256</v>
      </c>
    </row>
    <row r="24" spans="2:3" x14ac:dyDescent="0.3">
      <c r="B24" s="23" t="s">
        <v>151</v>
      </c>
    </row>
    <row r="26" spans="2:3" x14ac:dyDescent="0.3">
      <c r="B26" t="s">
        <v>238</v>
      </c>
    </row>
    <row r="27" spans="2:3" x14ac:dyDescent="0.3">
      <c r="C27" t="s">
        <v>257</v>
      </c>
    </row>
    <row r="28" spans="2:3" x14ac:dyDescent="0.3">
      <c r="C28" t="s">
        <v>258</v>
      </c>
    </row>
    <row r="30" spans="2:3" x14ac:dyDescent="0.3">
      <c r="B30" s="23" t="s">
        <v>152</v>
      </c>
    </row>
    <row r="32" spans="2:3" x14ac:dyDescent="0.3">
      <c r="B32" t="s">
        <v>241</v>
      </c>
    </row>
    <row r="33" spans="1:3" x14ac:dyDescent="0.3">
      <c r="C33" t="s">
        <v>259</v>
      </c>
    </row>
    <row r="34" spans="1:3" x14ac:dyDescent="0.3">
      <c r="C34" t="s">
        <v>260</v>
      </c>
    </row>
    <row r="35" spans="1:3" x14ac:dyDescent="0.3">
      <c r="B35" t="s">
        <v>242</v>
      </c>
    </row>
    <row r="36" spans="1:3" x14ac:dyDescent="0.3">
      <c r="C36" t="s">
        <v>243</v>
      </c>
    </row>
    <row r="37" spans="1:3" x14ac:dyDescent="0.3">
      <c r="C37" t="s">
        <v>244</v>
      </c>
    </row>
    <row r="39" spans="1:3" x14ac:dyDescent="0.3">
      <c r="A39" t="s">
        <v>253</v>
      </c>
    </row>
    <row r="40" spans="1:3" x14ac:dyDescent="0.3">
      <c r="B40" s="23" t="s">
        <v>153</v>
      </c>
    </row>
    <row r="42" spans="1:3" x14ac:dyDescent="0.3">
      <c r="B42" s="23" t="s">
        <v>154</v>
      </c>
    </row>
    <row r="44" spans="1:3" x14ac:dyDescent="0.3">
      <c r="B44" s="23" t="s">
        <v>261</v>
      </c>
    </row>
    <row r="46" spans="1:3" x14ac:dyDescent="0.3">
      <c r="B46" s="23" t="s">
        <v>156</v>
      </c>
    </row>
    <row r="48" spans="1:3" x14ac:dyDescent="0.3">
      <c r="A48" t="s">
        <v>254</v>
      </c>
    </row>
    <row r="49" spans="2:2" x14ac:dyDescent="0.3">
      <c r="B49" s="23" t="s">
        <v>169</v>
      </c>
    </row>
    <row r="51" spans="2:2" x14ac:dyDescent="0.3">
      <c r="B51" t="s">
        <v>228</v>
      </c>
    </row>
    <row r="52" spans="2:2" x14ac:dyDescent="0.3">
      <c r="B52" t="s">
        <v>229</v>
      </c>
    </row>
    <row r="53" spans="2:2" x14ac:dyDescent="0.3">
      <c r="B53" t="s">
        <v>230</v>
      </c>
    </row>
    <row r="55" spans="2:2" x14ac:dyDescent="0.3">
      <c r="B55" s="23" t="s">
        <v>170</v>
      </c>
    </row>
    <row r="57" spans="2:2" x14ac:dyDescent="0.3">
      <c r="B57" t="s">
        <v>171</v>
      </c>
    </row>
    <row r="59" spans="2:2" x14ac:dyDescent="0.3">
      <c r="B59" s="23" t="s">
        <v>172</v>
      </c>
    </row>
    <row r="61" spans="2:2" x14ac:dyDescent="0.3">
      <c r="B61" t="s">
        <v>173</v>
      </c>
    </row>
    <row r="63" spans="2:2" x14ac:dyDescent="0.3">
      <c r="B63" s="23" t="s">
        <v>174</v>
      </c>
    </row>
    <row r="65" spans="2:2" x14ac:dyDescent="0.3">
      <c r="B65" t="s">
        <v>175</v>
      </c>
    </row>
    <row r="66" spans="2:2" x14ac:dyDescent="0.3">
      <c r="B66" t="s">
        <v>231</v>
      </c>
    </row>
    <row r="67" spans="2:2" x14ac:dyDescent="0.3">
      <c r="B67" t="s">
        <v>232</v>
      </c>
    </row>
    <row r="68" spans="2:2" x14ac:dyDescent="0.3">
      <c r="B68" t="s">
        <v>233</v>
      </c>
    </row>
    <row r="69" spans="2:2" x14ac:dyDescent="0.3">
      <c r="B69" t="s">
        <v>234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EC5B-C22A-4F2C-AB28-C76C5F8670A9}">
  <sheetPr>
    <tabColor rgb="FFFFFF00"/>
  </sheetPr>
  <dimension ref="A1:T83"/>
  <sheetViews>
    <sheetView zoomScale="130" zoomScaleNormal="130" workbookViewId="0">
      <selection activeCell="D1" sqref="D1:D15"/>
    </sheetView>
  </sheetViews>
  <sheetFormatPr defaultRowHeight="14.4" x14ac:dyDescent="0.3"/>
  <cols>
    <col min="2" max="2" width="8.88671875" style="11"/>
    <col min="10" max="10" width="10.109375" bestFit="1" customWidth="1"/>
  </cols>
  <sheetData>
    <row r="1" spans="1:20" x14ac:dyDescent="0.3">
      <c r="A1" s="25" t="s">
        <v>177</v>
      </c>
      <c r="B1" s="26">
        <f>AVERAGE(sales_data[revenue])</f>
        <v>51380.357142857145</v>
      </c>
      <c r="D1" s="23" t="s">
        <v>184</v>
      </c>
      <c r="I1" s="3" t="s">
        <v>0</v>
      </c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  <c r="S1" s="4" t="s">
        <v>10</v>
      </c>
      <c r="T1" s="5" t="s">
        <v>11</v>
      </c>
    </row>
    <row r="2" spans="1:20" x14ac:dyDescent="0.3">
      <c r="A2" s="25" t="s">
        <v>178</v>
      </c>
      <c r="B2" s="26">
        <f>MEDIAN(sales_data[revenue])</f>
        <v>23980</v>
      </c>
      <c r="I2" s="12" t="s">
        <v>101</v>
      </c>
      <c r="J2" s="13">
        <v>45979</v>
      </c>
      <c r="K2" s="14" t="s">
        <v>102</v>
      </c>
      <c r="L2" s="14" t="s">
        <v>14</v>
      </c>
      <c r="M2" s="14" t="s">
        <v>53</v>
      </c>
      <c r="N2" s="14" t="s">
        <v>16</v>
      </c>
      <c r="O2" s="6">
        <v>7</v>
      </c>
      <c r="P2" s="6">
        <v>25990</v>
      </c>
      <c r="Q2" s="6">
        <v>181930</v>
      </c>
      <c r="R2" s="6">
        <v>145000</v>
      </c>
      <c r="S2" s="6">
        <v>36930</v>
      </c>
      <c r="T2" s="15" t="s">
        <v>103</v>
      </c>
    </row>
    <row r="3" spans="1:20" x14ac:dyDescent="0.3">
      <c r="A3" s="25" t="s">
        <v>179</v>
      </c>
      <c r="B3" s="26">
        <f>_xlfn.QUARTILE.INC(sales_data[revenue],1)</f>
        <v>8990</v>
      </c>
      <c r="D3" t="s">
        <v>185</v>
      </c>
      <c r="I3" s="16" t="s">
        <v>108</v>
      </c>
      <c r="J3" s="17">
        <v>45993</v>
      </c>
      <c r="K3" s="18" t="s">
        <v>109</v>
      </c>
      <c r="L3" s="18" t="s">
        <v>14</v>
      </c>
      <c r="M3" s="18" t="s">
        <v>15</v>
      </c>
      <c r="N3" s="18" t="s">
        <v>16</v>
      </c>
      <c r="O3" s="7">
        <v>10</v>
      </c>
      <c r="P3" s="7">
        <v>28990</v>
      </c>
      <c r="Q3" s="7">
        <v>289900</v>
      </c>
      <c r="R3" s="7">
        <v>225000</v>
      </c>
      <c r="S3" s="7">
        <v>64900</v>
      </c>
      <c r="T3" s="19" t="s">
        <v>110</v>
      </c>
    </row>
    <row r="4" spans="1:20" x14ac:dyDescent="0.3">
      <c r="A4" s="25" t="s">
        <v>180</v>
      </c>
      <c r="B4" s="26">
        <f>_xlfn.QUARTILE.INC(sales_data[revenue],3)</f>
        <v>57980</v>
      </c>
      <c r="I4" s="12" t="s">
        <v>116</v>
      </c>
      <c r="J4" s="13">
        <v>46009</v>
      </c>
      <c r="K4" s="14" t="s">
        <v>117</v>
      </c>
      <c r="L4" s="14" t="s">
        <v>26</v>
      </c>
      <c r="M4" s="14" t="s">
        <v>53</v>
      </c>
      <c r="N4" s="14" t="s">
        <v>16</v>
      </c>
      <c r="O4" s="6">
        <v>12</v>
      </c>
      <c r="P4" s="6">
        <v>25990</v>
      </c>
      <c r="Q4" s="6">
        <v>311880</v>
      </c>
      <c r="R4" s="6">
        <v>246000</v>
      </c>
      <c r="S4" s="6">
        <v>65880</v>
      </c>
      <c r="T4" s="15" t="s">
        <v>115</v>
      </c>
    </row>
    <row r="5" spans="1:20" x14ac:dyDescent="0.3">
      <c r="A5" s="25" t="s">
        <v>181</v>
      </c>
      <c r="B5" s="26">
        <f>B4-B3</f>
        <v>48990</v>
      </c>
      <c r="D5" t="s">
        <v>226</v>
      </c>
      <c r="I5" s="16" t="s">
        <v>118</v>
      </c>
      <c r="J5" s="17">
        <v>46013</v>
      </c>
      <c r="K5" s="18" t="s">
        <v>119</v>
      </c>
      <c r="L5" s="18" t="s">
        <v>14</v>
      </c>
      <c r="M5" s="18" t="s">
        <v>40</v>
      </c>
      <c r="N5" s="18" t="s">
        <v>16</v>
      </c>
      <c r="O5" s="7">
        <v>15</v>
      </c>
      <c r="P5" s="7">
        <v>31990</v>
      </c>
      <c r="Q5" s="7">
        <v>479850</v>
      </c>
      <c r="R5" s="7">
        <v>375000</v>
      </c>
      <c r="S5" s="7">
        <v>104850</v>
      </c>
      <c r="T5" s="19" t="s">
        <v>115</v>
      </c>
    </row>
    <row r="6" spans="1:20" x14ac:dyDescent="0.3">
      <c r="A6" s="25" t="s">
        <v>182</v>
      </c>
      <c r="B6" s="26">
        <f>B3-1.5*B5</f>
        <v>-64495</v>
      </c>
      <c r="D6" t="s">
        <v>227</v>
      </c>
    </row>
    <row r="7" spans="1:20" x14ac:dyDescent="0.3">
      <c r="A7" s="25" t="s">
        <v>183</v>
      </c>
      <c r="B7" s="26">
        <f>B4+1.5*B5</f>
        <v>131465</v>
      </c>
    </row>
    <row r="8" spans="1:20" x14ac:dyDescent="0.3">
      <c r="D8" s="23" t="s">
        <v>186</v>
      </c>
    </row>
    <row r="10" spans="1:20" x14ac:dyDescent="0.3">
      <c r="D10" t="s">
        <v>224</v>
      </c>
    </row>
    <row r="11" spans="1:20" x14ac:dyDescent="0.3">
      <c r="D11" t="s">
        <v>225</v>
      </c>
    </row>
    <row r="13" spans="1:20" x14ac:dyDescent="0.3">
      <c r="D13" t="s">
        <v>223</v>
      </c>
    </row>
    <row r="14" spans="1:20" x14ac:dyDescent="0.3">
      <c r="D14" t="s">
        <v>221</v>
      </c>
    </row>
    <row r="15" spans="1:20" x14ac:dyDescent="0.3">
      <c r="D15" t="s">
        <v>222</v>
      </c>
    </row>
    <row r="34" spans="4:4" x14ac:dyDescent="0.3">
      <c r="D34" t="s">
        <v>187</v>
      </c>
    </row>
    <row r="36" spans="4:4" x14ac:dyDescent="0.3">
      <c r="D36" s="10">
        <v>131465</v>
      </c>
    </row>
    <row r="38" spans="4:4" x14ac:dyDescent="0.3">
      <c r="D38" t="s">
        <v>188</v>
      </c>
    </row>
    <row r="40" spans="4:4" x14ac:dyDescent="0.3">
      <c r="D40" t="s">
        <v>189</v>
      </c>
    </row>
    <row r="42" spans="4:4" x14ac:dyDescent="0.3">
      <c r="D42" t="s">
        <v>190</v>
      </c>
    </row>
    <row r="44" spans="4:4" x14ac:dyDescent="0.3">
      <c r="D44" s="10">
        <v>181930</v>
      </c>
    </row>
    <row r="45" spans="4:4" x14ac:dyDescent="0.3">
      <c r="D45" s="10">
        <v>289900</v>
      </c>
    </row>
    <row r="46" spans="4:4" x14ac:dyDescent="0.3">
      <c r="D46" s="10">
        <v>311880</v>
      </c>
    </row>
    <row r="47" spans="4:4" x14ac:dyDescent="0.3">
      <c r="D47" s="10">
        <v>479850</v>
      </c>
    </row>
    <row r="51" spans="4:4" x14ac:dyDescent="0.3">
      <c r="D51" t="s">
        <v>176</v>
      </c>
    </row>
    <row r="53" spans="4:4" x14ac:dyDescent="0.3">
      <c r="D53" t="s">
        <v>191</v>
      </c>
    </row>
    <row r="55" spans="4:4" x14ac:dyDescent="0.3">
      <c r="D55" t="s">
        <v>192</v>
      </c>
    </row>
    <row r="57" spans="4:4" x14ac:dyDescent="0.3">
      <c r="D57" t="s">
        <v>193</v>
      </c>
    </row>
    <row r="59" spans="4:4" x14ac:dyDescent="0.3">
      <c r="D59" t="s">
        <v>194</v>
      </c>
    </row>
    <row r="61" spans="4:4" x14ac:dyDescent="0.3">
      <c r="D61" t="s">
        <v>195</v>
      </c>
    </row>
    <row r="62" spans="4:4" x14ac:dyDescent="0.3">
      <c r="D62" t="s">
        <v>196</v>
      </c>
    </row>
    <row r="63" spans="4:4" x14ac:dyDescent="0.3">
      <c r="D63" t="s">
        <v>197</v>
      </c>
    </row>
    <row r="64" spans="4:4" x14ac:dyDescent="0.3">
      <c r="D64" t="s">
        <v>198</v>
      </c>
    </row>
    <row r="65" spans="4:4" x14ac:dyDescent="0.3">
      <c r="D65" t="s">
        <v>199</v>
      </c>
    </row>
    <row r="66" spans="4:4" x14ac:dyDescent="0.3">
      <c r="D66" t="s">
        <v>200</v>
      </c>
    </row>
    <row r="67" spans="4:4" x14ac:dyDescent="0.3">
      <c r="D67" t="s">
        <v>201</v>
      </c>
    </row>
    <row r="69" spans="4:4" x14ac:dyDescent="0.3">
      <c r="D69" t="s">
        <v>202</v>
      </c>
    </row>
    <row r="71" spans="4:4" x14ac:dyDescent="0.3">
      <c r="D71" t="s">
        <v>203</v>
      </c>
    </row>
    <row r="75" spans="4:4" x14ac:dyDescent="0.3">
      <c r="D75" t="s">
        <v>204</v>
      </c>
    </row>
    <row r="77" spans="4:4" x14ac:dyDescent="0.3">
      <c r="D77" t="s">
        <v>205</v>
      </c>
    </row>
    <row r="79" spans="4:4" x14ac:dyDescent="0.3">
      <c r="D79" t="s">
        <v>206</v>
      </c>
    </row>
    <row r="80" spans="4:4" x14ac:dyDescent="0.3">
      <c r="D80" t="s">
        <v>207</v>
      </c>
    </row>
    <row r="81" spans="4:4" x14ac:dyDescent="0.3">
      <c r="D81" t="s">
        <v>208</v>
      </c>
    </row>
    <row r="82" spans="4:4" x14ac:dyDescent="0.3">
      <c r="D82" t="s">
        <v>209</v>
      </c>
    </row>
    <row r="83" spans="4:4" x14ac:dyDescent="0.3">
      <c r="D83" t="s">
        <v>210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50FA-23E1-4144-818F-8A51C89986F2}">
  <sheetPr>
    <tabColor rgb="FFFFFF00"/>
  </sheetPr>
  <dimension ref="A3:D51"/>
  <sheetViews>
    <sheetView topLeftCell="A10" zoomScale="130" zoomScaleNormal="130" workbookViewId="0">
      <selection activeCell="D3" sqref="D3:D23"/>
    </sheetView>
  </sheetViews>
  <sheetFormatPr defaultRowHeight="14.4" x14ac:dyDescent="0.3"/>
  <cols>
    <col min="1" max="1" width="14.88671875" bestFit="1" customWidth="1"/>
    <col min="2" max="2" width="15" bestFit="1" customWidth="1"/>
    <col min="3" max="3" width="13" bestFit="1" customWidth="1"/>
  </cols>
  <sheetData>
    <row r="3" spans="1:4" x14ac:dyDescent="0.3">
      <c r="A3" s="8" t="s">
        <v>146</v>
      </c>
      <c r="B3" t="s">
        <v>148</v>
      </c>
      <c r="D3" s="23" t="s">
        <v>169</v>
      </c>
    </row>
    <row r="4" spans="1:4" x14ac:dyDescent="0.3">
      <c r="A4" s="9" t="s">
        <v>157</v>
      </c>
      <c r="B4" s="1">
        <v>270210</v>
      </c>
    </row>
    <row r="5" spans="1:4" x14ac:dyDescent="0.3">
      <c r="A5" s="9" t="s">
        <v>158</v>
      </c>
      <c r="B5" s="1">
        <v>74100</v>
      </c>
      <c r="D5" t="s">
        <v>228</v>
      </c>
    </row>
    <row r="6" spans="1:4" x14ac:dyDescent="0.3">
      <c r="A6" s="9" t="s">
        <v>159</v>
      </c>
      <c r="B6" s="1">
        <v>164840</v>
      </c>
      <c r="D6" t="s">
        <v>229</v>
      </c>
    </row>
    <row r="7" spans="1:4" x14ac:dyDescent="0.3">
      <c r="A7" s="9" t="s">
        <v>160</v>
      </c>
      <c r="B7" s="1">
        <v>173920</v>
      </c>
      <c r="D7" t="s">
        <v>230</v>
      </c>
    </row>
    <row r="8" spans="1:4" x14ac:dyDescent="0.3">
      <c r="A8" s="9" t="s">
        <v>161</v>
      </c>
      <c r="B8" s="1">
        <v>135880</v>
      </c>
    </row>
    <row r="9" spans="1:4" x14ac:dyDescent="0.3">
      <c r="A9" s="9" t="s">
        <v>162</v>
      </c>
      <c r="B9" s="1">
        <v>43860</v>
      </c>
      <c r="D9" s="23" t="s">
        <v>170</v>
      </c>
    </row>
    <row r="10" spans="1:4" x14ac:dyDescent="0.3">
      <c r="A10" s="9" t="s">
        <v>163</v>
      </c>
      <c r="B10" s="1">
        <v>23980</v>
      </c>
    </row>
    <row r="11" spans="1:4" x14ac:dyDescent="0.3">
      <c r="A11" s="9" t="s">
        <v>164</v>
      </c>
      <c r="B11" s="1">
        <v>51980</v>
      </c>
      <c r="D11" t="s">
        <v>171</v>
      </c>
    </row>
    <row r="12" spans="1:4" x14ac:dyDescent="0.3">
      <c r="A12" s="9" t="s">
        <v>165</v>
      </c>
      <c r="B12" s="1">
        <v>88820</v>
      </c>
    </row>
    <row r="13" spans="1:4" x14ac:dyDescent="0.3">
      <c r="A13" s="9" t="s">
        <v>166</v>
      </c>
      <c r="B13" s="1">
        <v>169900</v>
      </c>
      <c r="D13" s="23" t="s">
        <v>172</v>
      </c>
    </row>
    <row r="14" spans="1:4" x14ac:dyDescent="0.3">
      <c r="A14" s="9" t="s">
        <v>167</v>
      </c>
      <c r="B14" s="1">
        <v>378410</v>
      </c>
    </row>
    <row r="15" spans="1:4" x14ac:dyDescent="0.3">
      <c r="A15" s="9" t="s">
        <v>168</v>
      </c>
      <c r="B15" s="1">
        <v>1301400</v>
      </c>
      <c r="D15" t="s">
        <v>173</v>
      </c>
    </row>
    <row r="16" spans="1:4" x14ac:dyDescent="0.3">
      <c r="A16" s="9" t="s">
        <v>147</v>
      </c>
      <c r="B16" s="1">
        <v>2877300</v>
      </c>
    </row>
    <row r="17" spans="4:4" x14ac:dyDescent="0.3">
      <c r="D17" s="23" t="s">
        <v>174</v>
      </c>
    </row>
    <row r="19" spans="4:4" x14ac:dyDescent="0.3">
      <c r="D19" t="s">
        <v>175</v>
      </c>
    </row>
    <row r="20" spans="4:4" x14ac:dyDescent="0.3">
      <c r="D20" t="s">
        <v>231</v>
      </c>
    </row>
    <row r="21" spans="4:4" x14ac:dyDescent="0.3">
      <c r="D21" t="s">
        <v>232</v>
      </c>
    </row>
    <row r="22" spans="4:4" x14ac:dyDescent="0.3">
      <c r="D22" t="s">
        <v>233</v>
      </c>
    </row>
    <row r="23" spans="4:4" x14ac:dyDescent="0.3">
      <c r="D23" t="s">
        <v>234</v>
      </c>
    </row>
    <row r="51" spans="4:4" x14ac:dyDescent="0.3">
      <c r="D51" s="10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4782-2F43-4B3D-8F2E-B83A77593D7F}">
  <sheetPr>
    <tabColor rgb="FFFFFF00"/>
  </sheetPr>
  <dimension ref="A3:E9"/>
  <sheetViews>
    <sheetView zoomScale="130" zoomScaleNormal="130" workbookViewId="0">
      <selection activeCell="E3" sqref="E3:E9"/>
    </sheetView>
  </sheetViews>
  <sheetFormatPr defaultRowHeight="14.4" x14ac:dyDescent="0.3"/>
  <cols>
    <col min="1" max="1" width="14.88671875" bestFit="1" customWidth="1"/>
    <col min="2" max="2" width="15.33203125" bestFit="1" customWidth="1"/>
    <col min="3" max="3" width="13" bestFit="1" customWidth="1"/>
  </cols>
  <sheetData>
    <row r="3" spans="1:5" x14ac:dyDescent="0.3">
      <c r="A3" s="8" t="s">
        <v>146</v>
      </c>
      <c r="B3" t="s">
        <v>148</v>
      </c>
      <c r="C3" t="s">
        <v>149</v>
      </c>
      <c r="E3" s="23" t="s">
        <v>153</v>
      </c>
    </row>
    <row r="4" spans="1:5" x14ac:dyDescent="0.3">
      <c r="A4" s="9" t="s">
        <v>33</v>
      </c>
      <c r="B4" s="1">
        <v>89300</v>
      </c>
      <c r="C4" s="1">
        <v>34500</v>
      </c>
    </row>
    <row r="5" spans="1:5" x14ac:dyDescent="0.3">
      <c r="A5" s="9" t="s">
        <v>22</v>
      </c>
      <c r="B5" s="1">
        <v>407020</v>
      </c>
      <c r="C5" s="1">
        <v>131420</v>
      </c>
      <c r="E5" s="23" t="s">
        <v>154</v>
      </c>
    </row>
    <row r="6" spans="1:5" x14ac:dyDescent="0.3">
      <c r="A6" s="9" t="s">
        <v>16</v>
      </c>
      <c r="B6" s="1">
        <v>2048280</v>
      </c>
      <c r="C6" s="1">
        <v>437280</v>
      </c>
    </row>
    <row r="7" spans="1:5" x14ac:dyDescent="0.3">
      <c r="A7" s="9" t="s">
        <v>28</v>
      </c>
      <c r="B7" s="1">
        <v>332700</v>
      </c>
      <c r="C7" s="1">
        <v>83400</v>
      </c>
      <c r="E7" s="23" t="s">
        <v>155</v>
      </c>
    </row>
    <row r="8" spans="1:5" x14ac:dyDescent="0.3">
      <c r="A8" s="9" t="s">
        <v>147</v>
      </c>
      <c r="B8" s="1">
        <v>2877300</v>
      </c>
      <c r="C8" s="1">
        <v>686600</v>
      </c>
    </row>
    <row r="9" spans="1:5" x14ac:dyDescent="0.3">
      <c r="E9" s="23" t="s">
        <v>156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2567-3A29-4A6B-BA8F-3ED2A013364F}">
  <sheetPr>
    <tabColor rgb="FFFFFF00"/>
  </sheetPr>
  <dimension ref="A3:E22"/>
  <sheetViews>
    <sheetView zoomScale="130" zoomScaleNormal="130" workbookViewId="0">
      <selection activeCell="E3" sqref="E3"/>
    </sheetView>
  </sheetViews>
  <sheetFormatPr defaultRowHeight="14.4" x14ac:dyDescent="0.3"/>
  <cols>
    <col min="1" max="1" width="14.88671875" bestFit="1" customWidth="1"/>
    <col min="2" max="2" width="15.33203125" bestFit="1" customWidth="1"/>
    <col min="3" max="3" width="12.88671875" bestFit="1" customWidth="1"/>
  </cols>
  <sheetData>
    <row r="3" spans="1:5" x14ac:dyDescent="0.3">
      <c r="A3" s="8" t="s">
        <v>146</v>
      </c>
      <c r="B3" t="s">
        <v>148</v>
      </c>
      <c r="C3" t="s">
        <v>149</v>
      </c>
      <c r="E3" s="23" t="s">
        <v>150</v>
      </c>
    </row>
    <row r="4" spans="1:5" x14ac:dyDescent="0.3">
      <c r="A4" s="9" t="s">
        <v>20</v>
      </c>
      <c r="B4" s="1">
        <v>318530</v>
      </c>
      <c r="C4" s="1">
        <v>88030</v>
      </c>
    </row>
    <row r="5" spans="1:5" x14ac:dyDescent="0.3">
      <c r="A5" s="9" t="s">
        <v>31</v>
      </c>
      <c r="B5" s="1">
        <v>149080</v>
      </c>
      <c r="C5" s="1">
        <v>53480</v>
      </c>
      <c r="E5" t="s">
        <v>235</v>
      </c>
    </row>
    <row r="6" spans="1:5" x14ac:dyDescent="0.3">
      <c r="A6" s="9" t="s">
        <v>26</v>
      </c>
      <c r="B6" s="1">
        <v>601680</v>
      </c>
      <c r="C6" s="1">
        <v>133880</v>
      </c>
      <c r="E6" t="s">
        <v>236</v>
      </c>
    </row>
    <row r="7" spans="1:5" x14ac:dyDescent="0.3">
      <c r="A7" s="9" t="s">
        <v>14</v>
      </c>
      <c r="B7" s="1">
        <v>1808010</v>
      </c>
      <c r="C7" s="1">
        <v>411210</v>
      </c>
      <c r="E7" t="s">
        <v>237</v>
      </c>
    </row>
    <row r="8" spans="1:5" x14ac:dyDescent="0.3">
      <c r="A8" s="9" t="s">
        <v>147</v>
      </c>
      <c r="B8" s="1">
        <v>2877300</v>
      </c>
      <c r="C8" s="1">
        <v>686600</v>
      </c>
    </row>
    <row r="9" spans="1:5" x14ac:dyDescent="0.3">
      <c r="E9" s="23" t="s">
        <v>151</v>
      </c>
    </row>
    <row r="11" spans="1:5" x14ac:dyDescent="0.3">
      <c r="E11" t="s">
        <v>238</v>
      </c>
    </row>
    <row r="12" spans="1:5" x14ac:dyDescent="0.3">
      <c r="E12" t="s">
        <v>239</v>
      </c>
    </row>
    <row r="13" spans="1:5" x14ac:dyDescent="0.3">
      <c r="E13" t="s">
        <v>240</v>
      </c>
    </row>
    <row r="15" spans="1:5" x14ac:dyDescent="0.3">
      <c r="E15" s="23" t="s">
        <v>152</v>
      </c>
    </row>
    <row r="17" spans="5:5" x14ac:dyDescent="0.3">
      <c r="E17" t="s">
        <v>241</v>
      </c>
    </row>
    <row r="18" spans="5:5" x14ac:dyDescent="0.3">
      <c r="E18" t="s">
        <v>8</v>
      </c>
    </row>
    <row r="19" spans="5:5" x14ac:dyDescent="0.3">
      <c r="E19" t="s">
        <v>10</v>
      </c>
    </row>
    <row r="20" spans="5:5" x14ac:dyDescent="0.3">
      <c r="E20" t="s">
        <v>242</v>
      </c>
    </row>
    <row r="21" spans="5:5" x14ac:dyDescent="0.3">
      <c r="E21" t="s">
        <v>243</v>
      </c>
    </row>
    <row r="22" spans="5:5" x14ac:dyDescent="0.3">
      <c r="E22" t="s">
        <v>244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250B-AC33-4496-BBFD-77C0D7DD8CA8}">
  <dimension ref="A1:L57"/>
  <sheetViews>
    <sheetView zoomScale="130" zoomScaleNormal="130" workbookViewId="0"/>
  </sheetViews>
  <sheetFormatPr defaultRowHeight="14.4" x14ac:dyDescent="0.3"/>
  <cols>
    <col min="1" max="1" width="10.109375" bestFit="1" customWidth="1"/>
    <col min="2" max="2" width="12.21875" bestFit="1" customWidth="1"/>
    <col min="3" max="3" width="13.5546875" bestFit="1" customWidth="1"/>
    <col min="4" max="4" width="8.33203125" bestFit="1" customWidth="1"/>
    <col min="5" max="5" width="18.33203125" bestFit="1" customWidth="1"/>
    <col min="6" max="6" width="10.88671875" bestFit="1" customWidth="1"/>
    <col min="7" max="7" width="10.109375" bestFit="1" customWidth="1"/>
    <col min="8" max="8" width="11.5546875" bestFit="1" customWidth="1"/>
    <col min="9" max="9" width="9.77734375" bestFit="1" customWidth="1"/>
    <col min="10" max="10" width="7" bestFit="1" customWidth="1"/>
    <col min="11" max="11" width="7.77734375" bestFit="1" customWidth="1"/>
    <col min="12" max="12" width="13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2">
        <v>45662</v>
      </c>
      <c r="C2" s="1" t="s">
        <v>13</v>
      </c>
      <c r="D2" s="1" t="s">
        <v>14</v>
      </c>
      <c r="E2" s="1" t="s">
        <v>15</v>
      </c>
      <c r="F2" s="1" t="s">
        <v>16</v>
      </c>
      <c r="G2">
        <v>1</v>
      </c>
      <c r="H2">
        <v>28990</v>
      </c>
      <c r="I2">
        <v>28990</v>
      </c>
      <c r="J2">
        <v>23000</v>
      </c>
      <c r="K2">
        <v>5990</v>
      </c>
      <c r="L2" s="1" t="s">
        <v>17</v>
      </c>
    </row>
    <row r="3" spans="1:12" x14ac:dyDescent="0.3">
      <c r="A3" s="1" t="s">
        <v>18</v>
      </c>
      <c r="B3" s="2">
        <v>45664</v>
      </c>
      <c r="C3" s="1" t="s">
        <v>19</v>
      </c>
      <c r="D3" s="1" t="s">
        <v>20</v>
      </c>
      <c r="E3" s="1" t="s">
        <v>21</v>
      </c>
      <c r="F3" s="1" t="s">
        <v>22</v>
      </c>
      <c r="G3">
        <v>2</v>
      </c>
      <c r="H3">
        <v>2490</v>
      </c>
      <c r="I3">
        <v>4980</v>
      </c>
      <c r="J3">
        <v>3200</v>
      </c>
      <c r="K3">
        <v>1780</v>
      </c>
      <c r="L3" s="1" t="s">
        <v>23</v>
      </c>
    </row>
    <row r="4" spans="1:12" x14ac:dyDescent="0.3">
      <c r="A4" s="1" t="s">
        <v>24</v>
      </c>
      <c r="B4" s="2">
        <v>45665</v>
      </c>
      <c r="C4" s="1" t="s">
        <v>25</v>
      </c>
      <c r="D4" s="1" t="s">
        <v>26</v>
      </c>
      <c r="E4" s="1" t="s">
        <v>27</v>
      </c>
      <c r="F4" s="1" t="s">
        <v>28</v>
      </c>
      <c r="G4">
        <v>1</v>
      </c>
      <c r="H4">
        <v>11990</v>
      </c>
      <c r="I4">
        <v>11990</v>
      </c>
      <c r="J4">
        <v>9000</v>
      </c>
      <c r="K4">
        <v>2990</v>
      </c>
      <c r="L4" s="1" t="s">
        <v>17</v>
      </c>
    </row>
    <row r="5" spans="1:12" x14ac:dyDescent="0.3">
      <c r="A5" s="1" t="s">
        <v>29</v>
      </c>
      <c r="B5" s="2">
        <v>45667</v>
      </c>
      <c r="C5" s="1" t="s">
        <v>30</v>
      </c>
      <c r="D5" s="1" t="s">
        <v>31</v>
      </c>
      <c r="E5" s="1" t="s">
        <v>32</v>
      </c>
      <c r="F5" s="1" t="s">
        <v>33</v>
      </c>
      <c r="G5">
        <v>1</v>
      </c>
      <c r="H5">
        <v>3490</v>
      </c>
      <c r="I5">
        <v>3490</v>
      </c>
      <c r="J5">
        <v>2200</v>
      </c>
      <c r="K5">
        <v>1290</v>
      </c>
      <c r="L5" s="1" t="s">
        <v>34</v>
      </c>
    </row>
    <row r="6" spans="1:12" x14ac:dyDescent="0.3">
      <c r="A6" s="1" t="s">
        <v>35</v>
      </c>
      <c r="B6" s="2">
        <v>45669</v>
      </c>
      <c r="C6" s="1" t="s">
        <v>36</v>
      </c>
      <c r="D6" s="1" t="s">
        <v>14</v>
      </c>
      <c r="E6" s="1" t="s">
        <v>37</v>
      </c>
      <c r="F6" s="1" t="s">
        <v>22</v>
      </c>
      <c r="G6">
        <v>1</v>
      </c>
      <c r="H6">
        <v>7990</v>
      </c>
      <c r="I6">
        <v>7990</v>
      </c>
      <c r="J6">
        <v>5800</v>
      </c>
      <c r="K6">
        <v>2190</v>
      </c>
      <c r="L6" s="1" t="s">
        <v>23</v>
      </c>
    </row>
    <row r="7" spans="1:12" x14ac:dyDescent="0.3">
      <c r="A7" s="1" t="s">
        <v>38</v>
      </c>
      <c r="B7" s="2">
        <v>45672</v>
      </c>
      <c r="C7" s="1" t="s">
        <v>39</v>
      </c>
      <c r="D7" s="1" t="s">
        <v>26</v>
      </c>
      <c r="E7" s="1" t="s">
        <v>40</v>
      </c>
      <c r="F7" s="1" t="s">
        <v>16</v>
      </c>
      <c r="G7">
        <v>2</v>
      </c>
      <c r="H7">
        <v>31990</v>
      </c>
      <c r="I7">
        <v>63980</v>
      </c>
      <c r="J7">
        <v>51000</v>
      </c>
      <c r="K7">
        <v>12980</v>
      </c>
      <c r="L7" s="1" t="s">
        <v>41</v>
      </c>
    </row>
    <row r="8" spans="1:12" x14ac:dyDescent="0.3">
      <c r="A8" s="1" t="s">
        <v>42</v>
      </c>
      <c r="B8" s="2">
        <v>45675</v>
      </c>
      <c r="C8" s="1" t="s">
        <v>43</v>
      </c>
      <c r="D8" s="1" t="s">
        <v>20</v>
      </c>
      <c r="E8" s="1" t="s">
        <v>44</v>
      </c>
      <c r="F8" s="1" t="s">
        <v>28</v>
      </c>
      <c r="G8">
        <v>1</v>
      </c>
      <c r="H8">
        <v>8990</v>
      </c>
      <c r="I8">
        <v>8990</v>
      </c>
      <c r="J8">
        <v>6700</v>
      </c>
      <c r="K8">
        <v>2290</v>
      </c>
      <c r="L8" s="1" t="s">
        <v>17</v>
      </c>
    </row>
    <row r="9" spans="1:12" x14ac:dyDescent="0.3">
      <c r="A9" s="1" t="s">
        <v>45</v>
      </c>
      <c r="B9" s="2">
        <v>45677</v>
      </c>
      <c r="C9" s="1" t="s">
        <v>46</v>
      </c>
      <c r="D9" s="1" t="s">
        <v>31</v>
      </c>
      <c r="E9" s="1" t="s">
        <v>47</v>
      </c>
      <c r="F9" s="1" t="s">
        <v>33</v>
      </c>
      <c r="G9">
        <v>3</v>
      </c>
      <c r="H9">
        <v>1290</v>
      </c>
      <c r="I9">
        <v>3870</v>
      </c>
      <c r="J9">
        <v>1800</v>
      </c>
      <c r="K9">
        <v>2070</v>
      </c>
      <c r="L9" s="1" t="s">
        <v>34</v>
      </c>
    </row>
    <row r="10" spans="1:12" x14ac:dyDescent="0.3">
      <c r="A10" s="1" t="s">
        <v>48</v>
      </c>
      <c r="B10" s="2">
        <v>45679</v>
      </c>
      <c r="C10" s="1" t="s">
        <v>49</v>
      </c>
      <c r="D10" s="1" t="s">
        <v>14</v>
      </c>
      <c r="E10" s="1" t="s">
        <v>50</v>
      </c>
      <c r="F10" s="1" t="s">
        <v>22</v>
      </c>
      <c r="G10">
        <v>2</v>
      </c>
      <c r="H10">
        <v>2990</v>
      </c>
      <c r="I10">
        <v>5980</v>
      </c>
      <c r="J10">
        <v>3600</v>
      </c>
      <c r="K10">
        <v>2380</v>
      </c>
      <c r="L10" s="1" t="s">
        <v>23</v>
      </c>
    </row>
    <row r="11" spans="1:12" x14ac:dyDescent="0.3">
      <c r="A11" s="1" t="s">
        <v>51</v>
      </c>
      <c r="B11" s="2">
        <v>45682</v>
      </c>
      <c r="C11" s="1" t="s">
        <v>52</v>
      </c>
      <c r="D11" s="1" t="s">
        <v>14</v>
      </c>
      <c r="E11" s="1" t="s">
        <v>53</v>
      </c>
      <c r="F11" s="1" t="s">
        <v>16</v>
      </c>
      <c r="G11">
        <v>5</v>
      </c>
      <c r="H11">
        <v>25990</v>
      </c>
      <c r="I11">
        <v>129950</v>
      </c>
      <c r="J11">
        <v>101000</v>
      </c>
      <c r="K11">
        <v>28950</v>
      </c>
      <c r="L11" s="1" t="s">
        <v>41</v>
      </c>
    </row>
    <row r="12" spans="1:12" x14ac:dyDescent="0.3">
      <c r="A12" s="1" t="s">
        <v>54</v>
      </c>
      <c r="B12" s="2">
        <v>45691</v>
      </c>
      <c r="C12" s="1" t="s">
        <v>55</v>
      </c>
      <c r="D12" s="1" t="s">
        <v>20</v>
      </c>
      <c r="E12" s="1" t="s">
        <v>15</v>
      </c>
      <c r="F12" s="1" t="s">
        <v>16</v>
      </c>
      <c r="G12">
        <v>1</v>
      </c>
      <c r="H12">
        <v>28990</v>
      </c>
      <c r="I12">
        <v>28990</v>
      </c>
      <c r="J12">
        <v>23000</v>
      </c>
      <c r="K12">
        <v>5990</v>
      </c>
      <c r="L12" s="1" t="s">
        <v>17</v>
      </c>
    </row>
    <row r="13" spans="1:12" x14ac:dyDescent="0.3">
      <c r="A13" s="1" t="s">
        <v>56</v>
      </c>
      <c r="B13" s="2">
        <v>45693</v>
      </c>
      <c r="C13" s="1" t="s">
        <v>57</v>
      </c>
      <c r="D13" s="1" t="s">
        <v>14</v>
      </c>
      <c r="E13" s="1" t="s">
        <v>21</v>
      </c>
      <c r="F13" s="1" t="s">
        <v>22</v>
      </c>
      <c r="G13">
        <v>1</v>
      </c>
      <c r="H13">
        <v>2490</v>
      </c>
      <c r="I13">
        <v>2490</v>
      </c>
      <c r="J13">
        <v>1600</v>
      </c>
      <c r="K13">
        <v>890</v>
      </c>
      <c r="L13" s="1" t="s">
        <v>23</v>
      </c>
    </row>
    <row r="14" spans="1:12" x14ac:dyDescent="0.3">
      <c r="A14" s="1" t="s">
        <v>58</v>
      </c>
      <c r="B14" s="2">
        <v>45696</v>
      </c>
      <c r="C14" s="1" t="s">
        <v>59</v>
      </c>
      <c r="D14" s="1" t="s">
        <v>31</v>
      </c>
      <c r="E14" s="1" t="s">
        <v>47</v>
      </c>
      <c r="F14" s="1" t="s">
        <v>33</v>
      </c>
      <c r="G14">
        <v>2</v>
      </c>
      <c r="H14">
        <v>1290</v>
      </c>
      <c r="I14">
        <v>2580</v>
      </c>
      <c r="J14">
        <v>1200</v>
      </c>
      <c r="K14">
        <v>1380</v>
      </c>
      <c r="L14" s="1" t="s">
        <v>34</v>
      </c>
    </row>
    <row r="15" spans="1:12" x14ac:dyDescent="0.3">
      <c r="A15" s="1" t="s">
        <v>60</v>
      </c>
      <c r="B15" s="2">
        <v>45698</v>
      </c>
      <c r="C15" s="1" t="s">
        <v>61</v>
      </c>
      <c r="D15" s="1" t="s">
        <v>26</v>
      </c>
      <c r="E15" s="1" t="s">
        <v>50</v>
      </c>
      <c r="F15" s="1" t="s">
        <v>22</v>
      </c>
      <c r="G15">
        <v>1</v>
      </c>
      <c r="H15">
        <v>2990</v>
      </c>
      <c r="I15">
        <v>2990</v>
      </c>
      <c r="J15">
        <v>1800</v>
      </c>
      <c r="K15">
        <v>1190</v>
      </c>
      <c r="L15" s="1" t="s">
        <v>23</v>
      </c>
    </row>
    <row r="16" spans="1:12" x14ac:dyDescent="0.3">
      <c r="A16" s="1" t="s">
        <v>62</v>
      </c>
      <c r="B16" s="2">
        <v>45718</v>
      </c>
      <c r="C16" s="1" t="s">
        <v>63</v>
      </c>
      <c r="D16" s="1" t="s">
        <v>14</v>
      </c>
      <c r="E16" s="1" t="s">
        <v>27</v>
      </c>
      <c r="F16" s="1" t="s">
        <v>28</v>
      </c>
      <c r="G16">
        <v>2</v>
      </c>
      <c r="H16">
        <v>11990</v>
      </c>
      <c r="I16">
        <v>23980</v>
      </c>
      <c r="J16">
        <v>18000</v>
      </c>
      <c r="K16">
        <v>5980</v>
      </c>
      <c r="L16" s="1" t="s">
        <v>17</v>
      </c>
    </row>
    <row r="17" spans="1:12" x14ac:dyDescent="0.3">
      <c r="A17" s="1" t="s">
        <v>64</v>
      </c>
      <c r="B17" s="2">
        <v>45722</v>
      </c>
      <c r="C17" s="1" t="s">
        <v>65</v>
      </c>
      <c r="D17" s="1" t="s">
        <v>20</v>
      </c>
      <c r="E17" s="1" t="s">
        <v>32</v>
      </c>
      <c r="F17" s="1" t="s">
        <v>33</v>
      </c>
      <c r="G17">
        <v>3</v>
      </c>
      <c r="H17">
        <v>3490</v>
      </c>
      <c r="I17">
        <v>10470</v>
      </c>
      <c r="J17">
        <v>6600</v>
      </c>
      <c r="K17">
        <v>3870</v>
      </c>
      <c r="L17" s="1" t="s">
        <v>34</v>
      </c>
    </row>
    <row r="18" spans="1:12" x14ac:dyDescent="0.3">
      <c r="A18" s="1" t="s">
        <v>66</v>
      </c>
      <c r="B18" s="2">
        <v>45726</v>
      </c>
      <c r="C18" s="1" t="s">
        <v>67</v>
      </c>
      <c r="D18" s="1" t="s">
        <v>14</v>
      </c>
      <c r="E18" s="1" t="s">
        <v>40</v>
      </c>
      <c r="F18" s="1" t="s">
        <v>16</v>
      </c>
      <c r="G18">
        <v>1</v>
      </c>
      <c r="H18">
        <v>31990</v>
      </c>
      <c r="I18">
        <v>31990</v>
      </c>
      <c r="J18">
        <v>25500</v>
      </c>
      <c r="K18">
        <v>6490</v>
      </c>
      <c r="L18" s="1" t="s">
        <v>41</v>
      </c>
    </row>
    <row r="19" spans="1:12" x14ac:dyDescent="0.3">
      <c r="A19" s="1" t="s">
        <v>68</v>
      </c>
      <c r="B19" s="2">
        <v>45730</v>
      </c>
      <c r="C19" s="1" t="s">
        <v>69</v>
      </c>
      <c r="D19" s="1" t="s">
        <v>31</v>
      </c>
      <c r="E19" s="1" t="s">
        <v>37</v>
      </c>
      <c r="F19" s="1" t="s">
        <v>22</v>
      </c>
      <c r="G19">
        <v>2</v>
      </c>
      <c r="H19">
        <v>7990</v>
      </c>
      <c r="I19">
        <v>15980</v>
      </c>
      <c r="J19">
        <v>11600</v>
      </c>
      <c r="K19">
        <v>4380</v>
      </c>
      <c r="L19" s="1" t="s">
        <v>23</v>
      </c>
    </row>
    <row r="20" spans="1:12" x14ac:dyDescent="0.3">
      <c r="A20" s="1" t="s">
        <v>70</v>
      </c>
      <c r="B20" s="2">
        <v>45748</v>
      </c>
      <c r="C20" s="1" t="s">
        <v>71</v>
      </c>
      <c r="D20" s="1" t="s">
        <v>26</v>
      </c>
      <c r="E20" s="1" t="s">
        <v>44</v>
      </c>
      <c r="F20" s="1" t="s">
        <v>28</v>
      </c>
      <c r="G20">
        <v>1</v>
      </c>
      <c r="H20">
        <v>8990</v>
      </c>
      <c r="I20">
        <v>8990</v>
      </c>
      <c r="J20">
        <v>6700</v>
      </c>
      <c r="K20">
        <v>2290</v>
      </c>
      <c r="L20" s="1" t="s">
        <v>17</v>
      </c>
    </row>
    <row r="21" spans="1:12" x14ac:dyDescent="0.3">
      <c r="A21" s="1" t="s">
        <v>72</v>
      </c>
      <c r="B21" s="2">
        <v>45752</v>
      </c>
      <c r="C21" s="1" t="s">
        <v>73</v>
      </c>
      <c r="D21" s="1" t="s">
        <v>14</v>
      </c>
      <c r="E21" s="1" t="s">
        <v>53</v>
      </c>
      <c r="F21" s="1" t="s">
        <v>16</v>
      </c>
      <c r="G21">
        <v>3</v>
      </c>
      <c r="H21">
        <v>25990</v>
      </c>
      <c r="I21">
        <v>77970</v>
      </c>
      <c r="J21">
        <v>62000</v>
      </c>
      <c r="K21">
        <v>15970</v>
      </c>
      <c r="L21" s="1" t="s">
        <v>41</v>
      </c>
    </row>
    <row r="22" spans="1:12" x14ac:dyDescent="0.3">
      <c r="A22" s="1" t="s">
        <v>74</v>
      </c>
      <c r="B22" s="2">
        <v>45788</v>
      </c>
      <c r="C22" s="1" t="s">
        <v>75</v>
      </c>
      <c r="D22" s="1" t="s">
        <v>20</v>
      </c>
      <c r="E22" s="1" t="s">
        <v>21</v>
      </c>
      <c r="F22" s="1" t="s">
        <v>22</v>
      </c>
      <c r="G22">
        <v>4</v>
      </c>
      <c r="H22">
        <v>2490</v>
      </c>
      <c r="I22">
        <v>9960</v>
      </c>
      <c r="J22">
        <v>6400</v>
      </c>
      <c r="K22">
        <v>3560</v>
      </c>
      <c r="L22" s="1" t="s">
        <v>23</v>
      </c>
    </row>
    <row r="23" spans="1:12" x14ac:dyDescent="0.3">
      <c r="A23" s="1" t="s">
        <v>76</v>
      </c>
      <c r="B23" s="2">
        <v>45791</v>
      </c>
      <c r="C23" s="1" t="s">
        <v>77</v>
      </c>
      <c r="D23" s="1" t="s">
        <v>14</v>
      </c>
      <c r="E23" s="1" t="s">
        <v>15</v>
      </c>
      <c r="F23" s="1" t="s">
        <v>16</v>
      </c>
      <c r="G23">
        <v>2</v>
      </c>
      <c r="H23">
        <v>28990</v>
      </c>
      <c r="I23">
        <v>57980</v>
      </c>
      <c r="J23">
        <v>46000</v>
      </c>
      <c r="K23">
        <v>11980</v>
      </c>
      <c r="L23" s="1" t="s">
        <v>41</v>
      </c>
    </row>
    <row r="24" spans="1:12" x14ac:dyDescent="0.3">
      <c r="A24" s="1" t="s">
        <v>78</v>
      </c>
      <c r="B24" s="2">
        <v>45810</v>
      </c>
      <c r="C24" s="1" t="s">
        <v>79</v>
      </c>
      <c r="D24" s="1" t="s">
        <v>31</v>
      </c>
      <c r="E24" s="1" t="s">
        <v>50</v>
      </c>
      <c r="F24" s="1" t="s">
        <v>22</v>
      </c>
      <c r="G24">
        <v>5</v>
      </c>
      <c r="H24">
        <v>2990</v>
      </c>
      <c r="I24">
        <v>14950</v>
      </c>
      <c r="J24">
        <v>9000</v>
      </c>
      <c r="K24">
        <v>5950</v>
      </c>
      <c r="L24" s="1" t="s">
        <v>23</v>
      </c>
    </row>
    <row r="25" spans="1:12" x14ac:dyDescent="0.3">
      <c r="A25" s="1" t="s">
        <v>80</v>
      </c>
      <c r="B25" s="2">
        <v>45818</v>
      </c>
      <c r="C25" s="1" t="s">
        <v>81</v>
      </c>
      <c r="D25" s="1" t="s">
        <v>26</v>
      </c>
      <c r="E25" s="1" t="s">
        <v>32</v>
      </c>
      <c r="F25" s="1" t="s">
        <v>33</v>
      </c>
      <c r="G25">
        <v>2</v>
      </c>
      <c r="H25">
        <v>3490</v>
      </c>
      <c r="I25">
        <v>6980</v>
      </c>
      <c r="J25">
        <v>4400</v>
      </c>
      <c r="K25">
        <v>2580</v>
      </c>
      <c r="L25" s="1" t="s">
        <v>34</v>
      </c>
    </row>
    <row r="26" spans="1:12" x14ac:dyDescent="0.3">
      <c r="A26" s="1" t="s">
        <v>82</v>
      </c>
      <c r="B26" s="2">
        <v>45841</v>
      </c>
      <c r="C26" s="1" t="s">
        <v>83</v>
      </c>
      <c r="D26" s="1" t="s">
        <v>14</v>
      </c>
      <c r="E26" s="1" t="s">
        <v>27</v>
      </c>
      <c r="F26" s="1" t="s">
        <v>28</v>
      </c>
      <c r="G26">
        <v>1</v>
      </c>
      <c r="H26">
        <v>11990</v>
      </c>
      <c r="I26">
        <v>11990</v>
      </c>
      <c r="J26">
        <v>9000</v>
      </c>
      <c r="K26">
        <v>2990</v>
      </c>
      <c r="L26" s="1" t="s">
        <v>17</v>
      </c>
    </row>
    <row r="27" spans="1:12" x14ac:dyDescent="0.3">
      <c r="A27" s="1" t="s">
        <v>84</v>
      </c>
      <c r="B27" s="2">
        <v>45878</v>
      </c>
      <c r="C27" s="1" t="s">
        <v>85</v>
      </c>
      <c r="D27" s="1" t="s">
        <v>20</v>
      </c>
      <c r="E27" s="1" t="s">
        <v>53</v>
      </c>
      <c r="F27" s="1" t="s">
        <v>16</v>
      </c>
      <c r="G27">
        <v>1</v>
      </c>
      <c r="H27">
        <v>25990</v>
      </c>
      <c r="I27">
        <v>25990</v>
      </c>
      <c r="J27">
        <v>20500</v>
      </c>
      <c r="K27">
        <v>5490</v>
      </c>
      <c r="L27" s="1" t="s">
        <v>41</v>
      </c>
    </row>
    <row r="28" spans="1:12" x14ac:dyDescent="0.3">
      <c r="A28" s="1" t="s">
        <v>54</v>
      </c>
      <c r="B28" s="2">
        <v>45691</v>
      </c>
      <c r="C28" s="1" t="s">
        <v>55</v>
      </c>
      <c r="D28" s="1" t="s">
        <v>20</v>
      </c>
      <c r="E28" s="1" t="s">
        <v>15</v>
      </c>
      <c r="F28" s="1" t="s">
        <v>16</v>
      </c>
      <c r="G28">
        <v>1</v>
      </c>
      <c r="H28">
        <v>28990</v>
      </c>
      <c r="I28">
        <v>28990</v>
      </c>
      <c r="J28">
        <v>23000</v>
      </c>
      <c r="K28">
        <v>5990</v>
      </c>
      <c r="L28" s="1" t="s">
        <v>17</v>
      </c>
    </row>
    <row r="29" spans="1:12" x14ac:dyDescent="0.3">
      <c r="A29" s="1" t="s">
        <v>56</v>
      </c>
      <c r="B29" s="2">
        <v>45693</v>
      </c>
      <c r="C29" s="1" t="s">
        <v>57</v>
      </c>
      <c r="D29" s="1" t="s">
        <v>14</v>
      </c>
      <c r="E29" s="1" t="s">
        <v>21</v>
      </c>
      <c r="F29" s="1" t="s">
        <v>22</v>
      </c>
      <c r="G29">
        <v>1</v>
      </c>
      <c r="H29">
        <v>2490</v>
      </c>
      <c r="I29">
        <v>2490</v>
      </c>
      <c r="J29">
        <v>1600</v>
      </c>
      <c r="K29">
        <v>890</v>
      </c>
      <c r="L29" s="1" t="s">
        <v>23</v>
      </c>
    </row>
    <row r="30" spans="1:12" x14ac:dyDescent="0.3">
      <c r="A30" s="1" t="s">
        <v>58</v>
      </c>
      <c r="B30" s="2">
        <v>45696</v>
      </c>
      <c r="C30" s="1" t="s">
        <v>59</v>
      </c>
      <c r="D30" s="1" t="s">
        <v>31</v>
      </c>
      <c r="E30" s="1" t="s">
        <v>47</v>
      </c>
      <c r="F30" s="1" t="s">
        <v>33</v>
      </c>
      <c r="G30">
        <v>2</v>
      </c>
      <c r="H30">
        <v>1290</v>
      </c>
      <c r="I30">
        <v>2580</v>
      </c>
      <c r="J30">
        <v>1200</v>
      </c>
      <c r="K30">
        <v>1380</v>
      </c>
      <c r="L30" s="1" t="s">
        <v>34</v>
      </c>
    </row>
    <row r="31" spans="1:12" x14ac:dyDescent="0.3">
      <c r="A31" s="1" t="s">
        <v>60</v>
      </c>
      <c r="B31" s="2">
        <v>45698</v>
      </c>
      <c r="C31" s="1" t="s">
        <v>61</v>
      </c>
      <c r="D31" s="1" t="s">
        <v>26</v>
      </c>
      <c r="E31" s="1" t="s">
        <v>50</v>
      </c>
      <c r="F31" s="1" t="s">
        <v>22</v>
      </c>
      <c r="G31">
        <v>1</v>
      </c>
      <c r="H31">
        <v>2990</v>
      </c>
      <c r="I31">
        <v>2990</v>
      </c>
      <c r="J31">
        <v>1800</v>
      </c>
      <c r="K31">
        <v>1190</v>
      </c>
      <c r="L31" s="1" t="s">
        <v>23</v>
      </c>
    </row>
    <row r="32" spans="1:12" x14ac:dyDescent="0.3">
      <c r="A32" s="1" t="s">
        <v>62</v>
      </c>
      <c r="B32" s="2">
        <v>45718</v>
      </c>
      <c r="C32" s="1" t="s">
        <v>63</v>
      </c>
      <c r="D32" s="1" t="s">
        <v>14</v>
      </c>
      <c r="E32" s="1" t="s">
        <v>27</v>
      </c>
      <c r="F32" s="1" t="s">
        <v>28</v>
      </c>
      <c r="G32">
        <v>2</v>
      </c>
      <c r="H32">
        <v>11990</v>
      </c>
      <c r="I32">
        <v>23980</v>
      </c>
      <c r="J32">
        <v>18000</v>
      </c>
      <c r="K32">
        <v>5980</v>
      </c>
      <c r="L32" s="1" t="s">
        <v>17</v>
      </c>
    </row>
    <row r="33" spans="1:12" x14ac:dyDescent="0.3">
      <c r="A33" s="1" t="s">
        <v>64</v>
      </c>
      <c r="B33" s="2">
        <v>45722</v>
      </c>
      <c r="C33" s="1" t="s">
        <v>65</v>
      </c>
      <c r="D33" s="1" t="s">
        <v>20</v>
      </c>
      <c r="E33" s="1" t="s">
        <v>32</v>
      </c>
      <c r="F33" s="1" t="s">
        <v>33</v>
      </c>
      <c r="G33">
        <v>3</v>
      </c>
      <c r="H33">
        <v>3490</v>
      </c>
      <c r="I33">
        <v>10470</v>
      </c>
      <c r="J33">
        <v>6600</v>
      </c>
      <c r="K33">
        <v>3870</v>
      </c>
      <c r="L33" s="1" t="s">
        <v>34</v>
      </c>
    </row>
    <row r="34" spans="1:12" x14ac:dyDescent="0.3">
      <c r="A34" s="1" t="s">
        <v>66</v>
      </c>
      <c r="B34" s="2">
        <v>45726</v>
      </c>
      <c r="C34" s="1" t="s">
        <v>67</v>
      </c>
      <c r="D34" s="1" t="s">
        <v>14</v>
      </c>
      <c r="E34" s="1" t="s">
        <v>40</v>
      </c>
      <c r="F34" s="1" t="s">
        <v>16</v>
      </c>
      <c r="G34">
        <v>1</v>
      </c>
      <c r="H34">
        <v>31990</v>
      </c>
      <c r="I34">
        <v>31990</v>
      </c>
      <c r="J34">
        <v>25500</v>
      </c>
      <c r="K34">
        <v>6490</v>
      </c>
      <c r="L34" s="1" t="s">
        <v>41</v>
      </c>
    </row>
    <row r="35" spans="1:12" x14ac:dyDescent="0.3">
      <c r="A35" s="1" t="s">
        <v>68</v>
      </c>
      <c r="B35" s="2">
        <v>45730</v>
      </c>
      <c r="C35" s="1" t="s">
        <v>69</v>
      </c>
      <c r="D35" s="1" t="s">
        <v>31</v>
      </c>
      <c r="E35" s="1" t="s">
        <v>37</v>
      </c>
      <c r="F35" s="1" t="s">
        <v>22</v>
      </c>
      <c r="G35">
        <v>2</v>
      </c>
      <c r="H35">
        <v>7990</v>
      </c>
      <c r="I35">
        <v>15980</v>
      </c>
      <c r="J35">
        <v>11600</v>
      </c>
      <c r="K35">
        <v>4380</v>
      </c>
      <c r="L35" s="1" t="s">
        <v>23</v>
      </c>
    </row>
    <row r="36" spans="1:12" x14ac:dyDescent="0.3">
      <c r="A36" s="1" t="s">
        <v>70</v>
      </c>
      <c r="B36" s="2">
        <v>45748</v>
      </c>
      <c r="C36" s="1" t="s">
        <v>71</v>
      </c>
      <c r="D36" s="1" t="s">
        <v>26</v>
      </c>
      <c r="E36" s="1" t="s">
        <v>44</v>
      </c>
      <c r="F36" s="1" t="s">
        <v>28</v>
      </c>
      <c r="G36">
        <v>1</v>
      </c>
      <c r="H36">
        <v>8990</v>
      </c>
      <c r="I36">
        <v>8990</v>
      </c>
      <c r="J36">
        <v>6700</v>
      </c>
      <c r="K36">
        <v>2290</v>
      </c>
      <c r="L36" s="1" t="s">
        <v>17</v>
      </c>
    </row>
    <row r="37" spans="1:12" x14ac:dyDescent="0.3">
      <c r="A37" s="1" t="s">
        <v>72</v>
      </c>
      <c r="B37" s="2">
        <v>45752</v>
      </c>
      <c r="C37" s="1" t="s">
        <v>73</v>
      </c>
      <c r="D37" s="1" t="s">
        <v>14</v>
      </c>
      <c r="E37" s="1" t="s">
        <v>53</v>
      </c>
      <c r="F37" s="1" t="s">
        <v>16</v>
      </c>
      <c r="G37">
        <v>3</v>
      </c>
      <c r="H37">
        <v>25990</v>
      </c>
      <c r="I37">
        <v>77970</v>
      </c>
      <c r="J37">
        <v>62000</v>
      </c>
      <c r="K37">
        <v>15970</v>
      </c>
      <c r="L37" s="1" t="s">
        <v>41</v>
      </c>
    </row>
    <row r="38" spans="1:12" x14ac:dyDescent="0.3">
      <c r="A38" s="1" t="s">
        <v>74</v>
      </c>
      <c r="B38" s="2">
        <v>45788</v>
      </c>
      <c r="C38" s="1" t="s">
        <v>75</v>
      </c>
      <c r="D38" s="1" t="s">
        <v>20</v>
      </c>
      <c r="E38" s="1" t="s">
        <v>21</v>
      </c>
      <c r="F38" s="1" t="s">
        <v>22</v>
      </c>
      <c r="G38">
        <v>4</v>
      </c>
      <c r="H38">
        <v>2490</v>
      </c>
      <c r="I38">
        <v>9960</v>
      </c>
      <c r="J38">
        <v>6400</v>
      </c>
      <c r="K38">
        <v>3560</v>
      </c>
      <c r="L38" s="1" t="s">
        <v>23</v>
      </c>
    </row>
    <row r="39" spans="1:12" x14ac:dyDescent="0.3">
      <c r="A39" s="1" t="s">
        <v>76</v>
      </c>
      <c r="B39" s="2">
        <v>45791</v>
      </c>
      <c r="C39" s="1" t="s">
        <v>77</v>
      </c>
      <c r="D39" s="1" t="s">
        <v>14</v>
      </c>
      <c r="E39" s="1" t="s">
        <v>15</v>
      </c>
      <c r="F39" s="1" t="s">
        <v>16</v>
      </c>
      <c r="G39">
        <v>2</v>
      </c>
      <c r="H39">
        <v>28990</v>
      </c>
      <c r="I39">
        <v>57980</v>
      </c>
      <c r="J39">
        <v>46000</v>
      </c>
      <c r="K39">
        <v>11980</v>
      </c>
      <c r="L39" s="1" t="s">
        <v>41</v>
      </c>
    </row>
    <row r="40" spans="1:12" x14ac:dyDescent="0.3">
      <c r="A40" s="1" t="s">
        <v>78</v>
      </c>
      <c r="B40" s="2">
        <v>45810</v>
      </c>
      <c r="C40" s="1" t="s">
        <v>79</v>
      </c>
      <c r="D40" s="1" t="s">
        <v>31</v>
      </c>
      <c r="E40" s="1" t="s">
        <v>50</v>
      </c>
      <c r="F40" s="1" t="s">
        <v>22</v>
      </c>
      <c r="G40">
        <v>5</v>
      </c>
      <c r="H40">
        <v>2990</v>
      </c>
      <c r="I40">
        <v>14950</v>
      </c>
      <c r="J40">
        <v>9000</v>
      </c>
      <c r="K40">
        <v>5950</v>
      </c>
      <c r="L40" s="1" t="s">
        <v>23</v>
      </c>
    </row>
    <row r="41" spans="1:12" x14ac:dyDescent="0.3">
      <c r="A41" s="1" t="s">
        <v>80</v>
      </c>
      <c r="B41" s="2">
        <v>45818</v>
      </c>
      <c r="C41" s="1" t="s">
        <v>81</v>
      </c>
      <c r="D41" s="1" t="s">
        <v>26</v>
      </c>
      <c r="E41" s="1" t="s">
        <v>32</v>
      </c>
      <c r="F41" s="1" t="s">
        <v>33</v>
      </c>
      <c r="G41">
        <v>2</v>
      </c>
      <c r="H41">
        <v>3490</v>
      </c>
      <c r="I41">
        <v>6980</v>
      </c>
      <c r="J41">
        <v>4400</v>
      </c>
      <c r="K41">
        <v>2580</v>
      </c>
      <c r="L41" s="1" t="s">
        <v>34</v>
      </c>
    </row>
    <row r="42" spans="1:12" x14ac:dyDescent="0.3">
      <c r="A42" s="1" t="s">
        <v>82</v>
      </c>
      <c r="B42" s="2">
        <v>45841</v>
      </c>
      <c r="C42" s="1" t="s">
        <v>83</v>
      </c>
      <c r="D42" s="1" t="s">
        <v>14</v>
      </c>
      <c r="E42" s="1" t="s">
        <v>27</v>
      </c>
      <c r="F42" s="1" t="s">
        <v>28</v>
      </c>
      <c r="G42">
        <v>1</v>
      </c>
      <c r="H42">
        <v>11990</v>
      </c>
      <c r="I42">
        <v>11990</v>
      </c>
      <c r="J42">
        <v>9000</v>
      </c>
      <c r="K42">
        <v>2990</v>
      </c>
      <c r="L42" s="1" t="s">
        <v>17</v>
      </c>
    </row>
    <row r="43" spans="1:12" x14ac:dyDescent="0.3">
      <c r="A43" s="1" t="s">
        <v>84</v>
      </c>
      <c r="B43" s="2">
        <v>45878</v>
      </c>
      <c r="C43" s="1" t="s">
        <v>85</v>
      </c>
      <c r="D43" s="1" t="s">
        <v>20</v>
      </c>
      <c r="E43" s="1" t="s">
        <v>53</v>
      </c>
      <c r="F43" s="1" t="s">
        <v>16</v>
      </c>
      <c r="G43">
        <v>1</v>
      </c>
      <c r="H43">
        <v>25990</v>
      </c>
      <c r="I43">
        <v>25990</v>
      </c>
      <c r="J43">
        <v>20500</v>
      </c>
      <c r="K43">
        <v>5490</v>
      </c>
      <c r="L43" s="1" t="s">
        <v>41</v>
      </c>
    </row>
    <row r="44" spans="1:12" x14ac:dyDescent="0.3">
      <c r="A44" s="1" t="s">
        <v>86</v>
      </c>
      <c r="B44" s="2">
        <v>45902</v>
      </c>
      <c r="C44" s="1" t="s">
        <v>87</v>
      </c>
      <c r="D44" s="1" t="s">
        <v>14</v>
      </c>
      <c r="E44" s="1" t="s">
        <v>37</v>
      </c>
      <c r="F44" s="1" t="s">
        <v>22</v>
      </c>
      <c r="G44">
        <v>8</v>
      </c>
      <c r="H44">
        <v>7990</v>
      </c>
      <c r="I44">
        <v>63920</v>
      </c>
      <c r="J44">
        <v>46000</v>
      </c>
      <c r="K44">
        <v>17920</v>
      </c>
      <c r="L44" s="1" t="s">
        <v>88</v>
      </c>
    </row>
    <row r="45" spans="1:12" x14ac:dyDescent="0.3">
      <c r="A45" s="1" t="s">
        <v>89</v>
      </c>
      <c r="B45" s="2">
        <v>45912</v>
      </c>
      <c r="C45" s="1" t="s">
        <v>90</v>
      </c>
      <c r="D45" s="1" t="s">
        <v>31</v>
      </c>
      <c r="E45" s="1" t="s">
        <v>21</v>
      </c>
      <c r="F45" s="1" t="s">
        <v>22</v>
      </c>
      <c r="G45">
        <v>10</v>
      </c>
      <c r="H45">
        <v>2490</v>
      </c>
      <c r="I45">
        <v>24900</v>
      </c>
      <c r="J45">
        <v>16000</v>
      </c>
      <c r="K45">
        <v>8900</v>
      </c>
      <c r="L45" s="1" t="s">
        <v>88</v>
      </c>
    </row>
    <row r="46" spans="1:12" x14ac:dyDescent="0.3">
      <c r="A46" s="1" t="s">
        <v>91</v>
      </c>
      <c r="B46" s="2">
        <v>45931</v>
      </c>
      <c r="C46" s="1" t="s">
        <v>92</v>
      </c>
      <c r="D46" s="1" t="s">
        <v>26</v>
      </c>
      <c r="E46" s="1" t="s">
        <v>15</v>
      </c>
      <c r="F46" s="1" t="s">
        <v>16</v>
      </c>
      <c r="G46">
        <v>4</v>
      </c>
      <c r="H46">
        <v>28990</v>
      </c>
      <c r="I46">
        <v>115960</v>
      </c>
      <c r="J46">
        <v>91000</v>
      </c>
      <c r="K46">
        <v>24960</v>
      </c>
      <c r="L46" s="1" t="s">
        <v>93</v>
      </c>
    </row>
    <row r="47" spans="1:12" x14ac:dyDescent="0.3">
      <c r="A47" s="1" t="s">
        <v>94</v>
      </c>
      <c r="B47" s="2">
        <v>45938</v>
      </c>
      <c r="C47" s="1" t="s">
        <v>95</v>
      </c>
      <c r="D47" s="1" t="s">
        <v>14</v>
      </c>
      <c r="E47" s="1" t="s">
        <v>44</v>
      </c>
      <c r="F47" s="1" t="s">
        <v>28</v>
      </c>
      <c r="G47">
        <v>6</v>
      </c>
      <c r="H47">
        <v>8990</v>
      </c>
      <c r="I47">
        <v>53940</v>
      </c>
      <c r="J47">
        <v>40200</v>
      </c>
      <c r="K47">
        <v>13740</v>
      </c>
      <c r="L47" s="1" t="s">
        <v>93</v>
      </c>
    </row>
    <row r="48" spans="1:12" x14ac:dyDescent="0.3">
      <c r="A48" s="1" t="s">
        <v>96</v>
      </c>
      <c r="B48" s="2">
        <v>45966</v>
      </c>
      <c r="C48" s="1" t="s">
        <v>97</v>
      </c>
      <c r="D48" s="1" t="s">
        <v>14</v>
      </c>
      <c r="E48" s="1" t="s">
        <v>50</v>
      </c>
      <c r="F48" s="1" t="s">
        <v>22</v>
      </c>
      <c r="G48">
        <v>15</v>
      </c>
      <c r="H48">
        <v>2990</v>
      </c>
      <c r="I48">
        <v>44850</v>
      </c>
      <c r="J48">
        <v>27000</v>
      </c>
      <c r="K48">
        <v>17850</v>
      </c>
      <c r="L48" s="1" t="s">
        <v>98</v>
      </c>
    </row>
    <row r="49" spans="1:12" x14ac:dyDescent="0.3">
      <c r="A49" s="1" t="s">
        <v>99</v>
      </c>
      <c r="B49" s="2">
        <v>45972</v>
      </c>
      <c r="C49" s="1" t="s">
        <v>100</v>
      </c>
      <c r="D49" s="1" t="s">
        <v>20</v>
      </c>
      <c r="E49" s="1" t="s">
        <v>32</v>
      </c>
      <c r="F49" s="1" t="s">
        <v>33</v>
      </c>
      <c r="G49">
        <v>12</v>
      </c>
      <c r="H49">
        <v>3490</v>
      </c>
      <c r="I49">
        <v>41880</v>
      </c>
      <c r="J49">
        <v>26400</v>
      </c>
      <c r="K49">
        <v>15480</v>
      </c>
      <c r="L49" s="1" t="s">
        <v>98</v>
      </c>
    </row>
    <row r="50" spans="1:12" x14ac:dyDescent="0.3">
      <c r="A50" s="1" t="s">
        <v>101</v>
      </c>
      <c r="B50" s="2">
        <v>45979</v>
      </c>
      <c r="C50" s="1" t="s">
        <v>102</v>
      </c>
      <c r="D50" s="1" t="s">
        <v>14</v>
      </c>
      <c r="E50" s="1" t="s">
        <v>53</v>
      </c>
      <c r="F50" s="1" t="s">
        <v>16</v>
      </c>
      <c r="G50">
        <v>7</v>
      </c>
      <c r="H50">
        <v>25990</v>
      </c>
      <c r="I50">
        <v>181930</v>
      </c>
      <c r="J50">
        <v>145000</v>
      </c>
      <c r="K50">
        <v>36930</v>
      </c>
      <c r="L50" s="1" t="s">
        <v>103</v>
      </c>
    </row>
    <row r="51" spans="1:12" x14ac:dyDescent="0.3">
      <c r="A51" s="1" t="s">
        <v>104</v>
      </c>
      <c r="B51" s="2">
        <v>45983</v>
      </c>
      <c r="C51" s="1" t="s">
        <v>105</v>
      </c>
      <c r="D51" s="1" t="s">
        <v>31</v>
      </c>
      <c r="E51" s="1" t="s">
        <v>21</v>
      </c>
      <c r="F51" s="1" t="s">
        <v>22</v>
      </c>
      <c r="G51">
        <v>20</v>
      </c>
      <c r="H51">
        <v>2490</v>
      </c>
      <c r="I51">
        <v>49800</v>
      </c>
      <c r="J51">
        <v>32000</v>
      </c>
      <c r="K51">
        <v>17800</v>
      </c>
      <c r="L51" s="1" t="s">
        <v>98</v>
      </c>
    </row>
    <row r="52" spans="1:12" x14ac:dyDescent="0.3">
      <c r="A52" s="1" t="s">
        <v>106</v>
      </c>
      <c r="B52" s="2">
        <v>45986</v>
      </c>
      <c r="C52" s="1" t="s">
        <v>107</v>
      </c>
      <c r="D52" s="1" t="s">
        <v>26</v>
      </c>
      <c r="E52" s="1" t="s">
        <v>27</v>
      </c>
      <c r="F52" s="1" t="s">
        <v>28</v>
      </c>
      <c r="G52">
        <v>5</v>
      </c>
      <c r="H52">
        <v>11990</v>
      </c>
      <c r="I52">
        <v>59950</v>
      </c>
      <c r="J52">
        <v>45000</v>
      </c>
      <c r="K52">
        <v>14950</v>
      </c>
      <c r="L52" s="1" t="s">
        <v>103</v>
      </c>
    </row>
    <row r="53" spans="1:12" x14ac:dyDescent="0.3">
      <c r="A53" s="1" t="s">
        <v>108</v>
      </c>
      <c r="B53" s="2">
        <v>45993</v>
      </c>
      <c r="C53" s="1" t="s">
        <v>109</v>
      </c>
      <c r="D53" s="1" t="s">
        <v>14</v>
      </c>
      <c r="E53" s="1" t="s">
        <v>15</v>
      </c>
      <c r="F53" s="1" t="s">
        <v>16</v>
      </c>
      <c r="G53">
        <v>10</v>
      </c>
      <c r="H53">
        <v>28990</v>
      </c>
      <c r="I53">
        <v>289900</v>
      </c>
      <c r="J53">
        <v>225000</v>
      </c>
      <c r="K53">
        <v>64900</v>
      </c>
      <c r="L53" s="1" t="s">
        <v>110</v>
      </c>
    </row>
    <row r="54" spans="1:12" x14ac:dyDescent="0.3">
      <c r="A54" s="1" t="s">
        <v>111</v>
      </c>
      <c r="B54" s="2">
        <v>45999</v>
      </c>
      <c r="C54" s="1" t="s">
        <v>112</v>
      </c>
      <c r="D54" s="1" t="s">
        <v>20</v>
      </c>
      <c r="E54" s="1" t="s">
        <v>37</v>
      </c>
      <c r="F54" s="1" t="s">
        <v>22</v>
      </c>
      <c r="G54">
        <v>14</v>
      </c>
      <c r="H54">
        <v>7990</v>
      </c>
      <c r="I54">
        <v>111860</v>
      </c>
      <c r="J54">
        <v>81200</v>
      </c>
      <c r="K54">
        <v>30660</v>
      </c>
      <c r="L54" s="1" t="s">
        <v>110</v>
      </c>
    </row>
    <row r="55" spans="1:12" x14ac:dyDescent="0.3">
      <c r="A55" s="1" t="s">
        <v>113</v>
      </c>
      <c r="B55" s="2">
        <v>46003</v>
      </c>
      <c r="C55" s="1" t="s">
        <v>114</v>
      </c>
      <c r="D55" s="1" t="s">
        <v>14</v>
      </c>
      <c r="E55" s="1" t="s">
        <v>27</v>
      </c>
      <c r="F55" s="1" t="s">
        <v>28</v>
      </c>
      <c r="G55">
        <v>9</v>
      </c>
      <c r="H55">
        <v>11990</v>
      </c>
      <c r="I55">
        <v>107910</v>
      </c>
      <c r="J55">
        <v>81000</v>
      </c>
      <c r="K55">
        <v>26910</v>
      </c>
      <c r="L55" s="1" t="s">
        <v>115</v>
      </c>
    </row>
    <row r="56" spans="1:12" x14ac:dyDescent="0.3">
      <c r="A56" s="1" t="s">
        <v>116</v>
      </c>
      <c r="B56" s="2">
        <v>46009</v>
      </c>
      <c r="C56" s="1" t="s">
        <v>117</v>
      </c>
      <c r="D56" s="1" t="s">
        <v>26</v>
      </c>
      <c r="E56" s="1" t="s">
        <v>53</v>
      </c>
      <c r="F56" s="1" t="s">
        <v>16</v>
      </c>
      <c r="G56">
        <v>12</v>
      </c>
      <c r="H56">
        <v>25990</v>
      </c>
      <c r="I56">
        <v>311880</v>
      </c>
      <c r="J56">
        <v>246000</v>
      </c>
      <c r="K56">
        <v>65880</v>
      </c>
      <c r="L56" s="1" t="s">
        <v>115</v>
      </c>
    </row>
    <row r="57" spans="1:12" x14ac:dyDescent="0.3">
      <c r="A57" s="1" t="s">
        <v>118</v>
      </c>
      <c r="B57" s="2">
        <v>46013</v>
      </c>
      <c r="C57" s="1" t="s">
        <v>119</v>
      </c>
      <c r="D57" s="1" t="s">
        <v>14</v>
      </c>
      <c r="E57" s="1" t="s">
        <v>40</v>
      </c>
      <c r="F57" s="1" t="s">
        <v>16</v>
      </c>
      <c r="G57">
        <v>15</v>
      </c>
      <c r="H57">
        <v>31990</v>
      </c>
      <c r="I57">
        <v>479850</v>
      </c>
      <c r="J57">
        <v>375000</v>
      </c>
      <c r="K57">
        <v>104850</v>
      </c>
      <c r="L57" s="1" t="s">
        <v>115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6395-3A57-4C16-ADAB-1CF03B5A9533}">
  <sheetPr>
    <tabColor rgb="FFFFFF00"/>
  </sheetPr>
  <dimension ref="A3:E11"/>
  <sheetViews>
    <sheetView zoomScale="130" zoomScaleNormal="130" workbookViewId="0">
      <selection activeCell="D12" sqref="D12"/>
    </sheetView>
  </sheetViews>
  <sheetFormatPr defaultRowHeight="14.4" x14ac:dyDescent="0.3"/>
  <cols>
    <col min="1" max="1" width="14.88671875" bestFit="1" customWidth="1"/>
    <col min="2" max="2" width="12.21875" bestFit="1" customWidth="1"/>
    <col min="3" max="3" width="15" bestFit="1" customWidth="1"/>
    <col min="4" max="4" width="13.5546875" bestFit="1" customWidth="1"/>
    <col min="5" max="5" width="22.109375" bestFit="1" customWidth="1"/>
  </cols>
  <sheetData>
    <row r="3" spans="1:5" x14ac:dyDescent="0.3">
      <c r="A3" s="8" t="s">
        <v>146</v>
      </c>
      <c r="B3" t="s">
        <v>247</v>
      </c>
      <c r="C3" t="s">
        <v>148</v>
      </c>
      <c r="D3" t="s">
        <v>248</v>
      </c>
      <c r="E3" t="s">
        <v>249</v>
      </c>
    </row>
    <row r="4" spans="1:5" x14ac:dyDescent="0.3">
      <c r="A4" s="9" t="s">
        <v>133</v>
      </c>
      <c r="B4" s="21">
        <v>27.06666666666667</v>
      </c>
      <c r="C4" s="1">
        <v>2100000</v>
      </c>
      <c r="D4" s="1">
        <v>70000</v>
      </c>
      <c r="E4" s="22">
        <v>0.19224598930481285</v>
      </c>
    </row>
    <row r="5" spans="1:5" x14ac:dyDescent="0.3">
      <c r="A5" s="9" t="s">
        <v>129</v>
      </c>
      <c r="B5" s="21">
        <v>15.58374183006536</v>
      </c>
      <c r="C5" s="1">
        <v>9620000</v>
      </c>
      <c r="D5" s="1">
        <v>595000</v>
      </c>
      <c r="E5" s="22">
        <v>0.11588492306961899</v>
      </c>
    </row>
    <row r="6" spans="1:5" x14ac:dyDescent="0.3">
      <c r="A6" s="9" t="s">
        <v>131</v>
      </c>
      <c r="B6" s="21">
        <v>15.953634085213031</v>
      </c>
      <c r="C6" s="1">
        <v>5530000</v>
      </c>
      <c r="D6" s="1">
        <v>366500</v>
      </c>
      <c r="E6" s="22">
        <v>0.10518334735309695</v>
      </c>
    </row>
    <row r="7" spans="1:5" x14ac:dyDescent="0.3">
      <c r="A7" s="9" t="s">
        <v>139</v>
      </c>
      <c r="B7" s="21">
        <v>16.666666666666668</v>
      </c>
      <c r="C7" s="1">
        <v>2750000</v>
      </c>
      <c r="D7" s="1">
        <v>165000</v>
      </c>
      <c r="E7" s="22">
        <v>7.0270270270270274E-2</v>
      </c>
    </row>
    <row r="8" spans="1:5" x14ac:dyDescent="0.3">
      <c r="A8" s="9" t="s">
        <v>147</v>
      </c>
      <c r="B8" s="21">
        <v>17.741928145527215</v>
      </c>
      <c r="C8" s="1">
        <v>20000000</v>
      </c>
      <c r="D8" s="1">
        <v>1196500</v>
      </c>
      <c r="E8" s="22">
        <v>0.12035155649365471</v>
      </c>
    </row>
    <row r="10" spans="1:5" x14ac:dyDescent="0.3">
      <c r="A10" s="23" t="s">
        <v>250</v>
      </c>
    </row>
    <row r="11" spans="1:5" x14ac:dyDescent="0.3">
      <c r="A11" s="23" t="s">
        <v>251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2980-9716-4053-AAC3-75B18BF01FB4}">
  <dimension ref="A1:N30"/>
  <sheetViews>
    <sheetView zoomScale="130" zoomScaleNormal="130" workbookViewId="0"/>
  </sheetViews>
  <sheetFormatPr defaultRowHeight="14.4" x14ac:dyDescent="0.3"/>
  <cols>
    <col min="1" max="1" width="13.88671875" bestFit="1" customWidth="1"/>
    <col min="2" max="2" width="28.5546875" bestFit="1" customWidth="1"/>
    <col min="3" max="3" width="10" bestFit="1" customWidth="1"/>
    <col min="4" max="4" width="11.6640625" bestFit="1" customWidth="1"/>
    <col min="5" max="5" width="10.88671875" bestFit="1" customWidth="1"/>
    <col min="6" max="6" width="8.33203125" bestFit="1" customWidth="1"/>
    <col min="7" max="7" width="13.44140625" bestFit="1" customWidth="1"/>
    <col min="8" max="8" width="8.21875" bestFit="1" customWidth="1"/>
    <col min="9" max="9" width="13.109375" bestFit="1" customWidth="1"/>
    <col min="10" max="10" width="9.77734375" bestFit="1" customWidth="1"/>
    <col min="11" max="11" width="8.33203125" bestFit="1" customWidth="1"/>
    <col min="12" max="13" width="8.88671875" style="20"/>
    <col min="14" max="14" width="8.88671875" style="21"/>
  </cols>
  <sheetData>
    <row r="1" spans="1:14" x14ac:dyDescent="0.3">
      <c r="A1" t="s">
        <v>11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8</v>
      </c>
      <c r="K1" t="s">
        <v>3</v>
      </c>
      <c r="L1" s="20" t="s">
        <v>211</v>
      </c>
      <c r="M1" s="20" t="s">
        <v>212</v>
      </c>
      <c r="N1" s="21" t="s">
        <v>213</v>
      </c>
    </row>
    <row r="2" spans="1:14" x14ac:dyDescent="0.3">
      <c r="A2" s="1" t="s">
        <v>17</v>
      </c>
      <c r="B2" s="1" t="s">
        <v>128</v>
      </c>
      <c r="C2" s="1" t="s">
        <v>129</v>
      </c>
      <c r="D2" s="2">
        <v>45658</v>
      </c>
      <c r="E2" s="2">
        <v>45747</v>
      </c>
      <c r="F2">
        <v>120000</v>
      </c>
      <c r="G2">
        <v>850000</v>
      </c>
      <c r="H2">
        <v>42000</v>
      </c>
      <c r="I2">
        <v>5200</v>
      </c>
      <c r="J2">
        <v>1450000</v>
      </c>
      <c r="K2" s="1" t="s">
        <v>14</v>
      </c>
      <c r="L2" s="20">
        <f t="shared" ref="L2:L13" si="0">H2/G2</f>
        <v>4.9411764705882349E-2</v>
      </c>
      <c r="M2" s="20">
        <f t="shared" ref="M2:M13" si="1">I2/H2</f>
        <v>0.12380952380952381</v>
      </c>
      <c r="N2" s="21">
        <f t="shared" ref="N2:N13" si="2">J2/F2</f>
        <v>12.083333333333334</v>
      </c>
    </row>
    <row r="3" spans="1:14" x14ac:dyDescent="0.3">
      <c r="A3" s="1" t="s">
        <v>23</v>
      </c>
      <c r="B3" s="1" t="s">
        <v>130</v>
      </c>
      <c r="C3" s="1" t="s">
        <v>131</v>
      </c>
      <c r="D3" s="2">
        <v>45658</v>
      </c>
      <c r="E3" s="2">
        <v>45838</v>
      </c>
      <c r="F3">
        <v>95000</v>
      </c>
      <c r="G3">
        <v>1200000</v>
      </c>
      <c r="H3">
        <v>51000</v>
      </c>
      <c r="I3">
        <v>4100</v>
      </c>
      <c r="J3">
        <v>980000</v>
      </c>
      <c r="K3" s="1" t="s">
        <v>20</v>
      </c>
      <c r="L3" s="20">
        <f t="shared" si="0"/>
        <v>4.2500000000000003E-2</v>
      </c>
      <c r="M3" s="20">
        <f t="shared" si="1"/>
        <v>8.0392156862745104E-2</v>
      </c>
      <c r="N3" s="21">
        <f t="shared" si="2"/>
        <v>10.315789473684211</v>
      </c>
    </row>
    <row r="4" spans="1:14" x14ac:dyDescent="0.3">
      <c r="A4" s="1" t="s">
        <v>34</v>
      </c>
      <c r="B4" s="1" t="s">
        <v>132</v>
      </c>
      <c r="C4" s="1" t="s">
        <v>133</v>
      </c>
      <c r="D4" s="2">
        <v>45672</v>
      </c>
      <c r="E4" s="2">
        <v>45838</v>
      </c>
      <c r="F4">
        <v>25000</v>
      </c>
      <c r="G4">
        <v>180000</v>
      </c>
      <c r="H4">
        <v>22000</v>
      </c>
      <c r="I4">
        <v>3800</v>
      </c>
      <c r="J4">
        <v>420000</v>
      </c>
      <c r="K4" s="1" t="s">
        <v>31</v>
      </c>
      <c r="L4" s="20">
        <f t="shared" si="0"/>
        <v>0.12222222222222222</v>
      </c>
      <c r="M4" s="20">
        <f t="shared" si="1"/>
        <v>0.17272727272727273</v>
      </c>
      <c r="N4" s="21">
        <f t="shared" si="2"/>
        <v>16.8</v>
      </c>
    </row>
    <row r="5" spans="1:14" x14ac:dyDescent="0.3">
      <c r="A5" s="1" t="s">
        <v>41</v>
      </c>
      <c r="B5" s="1" t="s">
        <v>134</v>
      </c>
      <c r="C5" s="1" t="s">
        <v>129</v>
      </c>
      <c r="D5" s="2">
        <v>45658</v>
      </c>
      <c r="E5" s="2">
        <v>45900</v>
      </c>
      <c r="F5">
        <v>180000</v>
      </c>
      <c r="G5">
        <v>1400000</v>
      </c>
      <c r="H5">
        <v>68000</v>
      </c>
      <c r="I5">
        <v>7300</v>
      </c>
      <c r="J5">
        <v>2650000</v>
      </c>
      <c r="K5" s="1" t="s">
        <v>14</v>
      </c>
      <c r="L5" s="20">
        <f t="shared" si="0"/>
        <v>4.8571428571428571E-2</v>
      </c>
      <c r="M5" s="20">
        <f t="shared" si="1"/>
        <v>0.10735294117647058</v>
      </c>
      <c r="N5" s="21">
        <f t="shared" si="2"/>
        <v>14.722222222222221</v>
      </c>
    </row>
    <row r="6" spans="1:14" x14ac:dyDescent="0.3">
      <c r="A6" s="1" t="s">
        <v>88</v>
      </c>
      <c r="B6" s="1" t="s">
        <v>135</v>
      </c>
      <c r="C6" s="1" t="s">
        <v>131</v>
      </c>
      <c r="D6" s="2">
        <v>45901</v>
      </c>
      <c r="E6" s="2">
        <v>45930</v>
      </c>
      <c r="F6">
        <v>70000</v>
      </c>
      <c r="G6">
        <v>980000</v>
      </c>
      <c r="H6">
        <v>46000</v>
      </c>
      <c r="I6">
        <v>3900</v>
      </c>
      <c r="J6">
        <v>890000</v>
      </c>
      <c r="K6" s="1" t="s">
        <v>31</v>
      </c>
      <c r="L6" s="20">
        <f t="shared" si="0"/>
        <v>4.6938775510204082E-2</v>
      </c>
      <c r="M6" s="20">
        <f t="shared" si="1"/>
        <v>8.478260869565217E-2</v>
      </c>
      <c r="N6" s="21">
        <f t="shared" si="2"/>
        <v>12.714285714285714</v>
      </c>
    </row>
    <row r="7" spans="1:14" x14ac:dyDescent="0.3">
      <c r="A7" s="1" t="s">
        <v>93</v>
      </c>
      <c r="B7" s="1" t="s">
        <v>136</v>
      </c>
      <c r="C7" s="1" t="s">
        <v>129</v>
      </c>
      <c r="D7" s="2">
        <v>45931</v>
      </c>
      <c r="E7" s="2">
        <v>45961</v>
      </c>
      <c r="F7">
        <v>85000</v>
      </c>
      <c r="G7">
        <v>760000</v>
      </c>
      <c r="H7">
        <v>39000</v>
      </c>
      <c r="I7">
        <v>4700</v>
      </c>
      <c r="J7">
        <v>1320000</v>
      </c>
      <c r="K7" s="1" t="s">
        <v>26</v>
      </c>
      <c r="L7" s="20">
        <f t="shared" si="0"/>
        <v>5.131578947368421E-2</v>
      </c>
      <c r="M7" s="20">
        <f t="shared" si="1"/>
        <v>0.12051282051282051</v>
      </c>
      <c r="N7" s="21">
        <f t="shared" si="2"/>
        <v>15.529411764705882</v>
      </c>
    </row>
    <row r="8" spans="1:14" x14ac:dyDescent="0.3">
      <c r="A8" s="1" t="s">
        <v>98</v>
      </c>
      <c r="B8" s="1" t="s">
        <v>137</v>
      </c>
      <c r="C8" s="1" t="s">
        <v>131</v>
      </c>
      <c r="D8" s="2">
        <v>45962</v>
      </c>
      <c r="E8" s="2">
        <v>45991</v>
      </c>
      <c r="F8">
        <v>140000</v>
      </c>
      <c r="G8">
        <v>2100000</v>
      </c>
      <c r="H8">
        <v>98000</v>
      </c>
      <c r="I8">
        <v>9100</v>
      </c>
      <c r="J8">
        <v>2450000</v>
      </c>
      <c r="K8" s="1" t="s">
        <v>14</v>
      </c>
      <c r="L8" s="20">
        <f t="shared" si="0"/>
        <v>4.6666666666666669E-2</v>
      </c>
      <c r="M8" s="20">
        <f t="shared" si="1"/>
        <v>9.285714285714286E-2</v>
      </c>
      <c r="N8" s="21">
        <f t="shared" si="2"/>
        <v>17.5</v>
      </c>
    </row>
    <row r="9" spans="1:14" x14ac:dyDescent="0.3">
      <c r="A9" s="1" t="s">
        <v>103</v>
      </c>
      <c r="B9" s="1" t="s">
        <v>138</v>
      </c>
      <c r="C9" s="1" t="s">
        <v>139</v>
      </c>
      <c r="D9" s="2">
        <v>45962</v>
      </c>
      <c r="E9" s="2">
        <v>45991</v>
      </c>
      <c r="F9">
        <v>165000</v>
      </c>
      <c r="G9">
        <v>3200000</v>
      </c>
      <c r="H9">
        <v>74000</v>
      </c>
      <c r="I9">
        <v>5200</v>
      </c>
      <c r="J9">
        <v>2750000</v>
      </c>
      <c r="K9" s="1" t="s">
        <v>14</v>
      </c>
      <c r="L9" s="20">
        <f t="shared" si="0"/>
        <v>2.3125E-2</v>
      </c>
      <c r="M9" s="20">
        <f t="shared" si="1"/>
        <v>7.0270270270270274E-2</v>
      </c>
      <c r="N9" s="21">
        <f t="shared" si="2"/>
        <v>16.666666666666668</v>
      </c>
    </row>
    <row r="10" spans="1:14" x14ac:dyDescent="0.3">
      <c r="A10" s="1" t="s">
        <v>110</v>
      </c>
      <c r="B10" s="1" t="s">
        <v>140</v>
      </c>
      <c r="C10" s="1" t="s">
        <v>129</v>
      </c>
      <c r="D10" s="2">
        <v>45992</v>
      </c>
      <c r="E10" s="2">
        <v>46011</v>
      </c>
      <c r="F10">
        <v>210000</v>
      </c>
      <c r="G10">
        <v>2600000</v>
      </c>
      <c r="H10">
        <v>118000</v>
      </c>
      <c r="I10">
        <v>13200</v>
      </c>
      <c r="J10">
        <v>4200000</v>
      </c>
      <c r="K10" s="1" t="s">
        <v>20</v>
      </c>
      <c r="L10" s="20">
        <f t="shared" si="0"/>
        <v>4.5384615384615384E-2</v>
      </c>
      <c r="M10" s="20">
        <f t="shared" si="1"/>
        <v>0.11186440677966102</v>
      </c>
      <c r="N10" s="21">
        <f t="shared" si="2"/>
        <v>20</v>
      </c>
    </row>
    <row r="11" spans="1:14" x14ac:dyDescent="0.3">
      <c r="A11" s="1" t="s">
        <v>115</v>
      </c>
      <c r="B11" s="1" t="s">
        <v>141</v>
      </c>
      <c r="C11" s="1" t="s">
        <v>133</v>
      </c>
      <c r="D11" s="2">
        <v>45992</v>
      </c>
      <c r="E11" s="2">
        <v>46022</v>
      </c>
      <c r="F11">
        <v>45000</v>
      </c>
      <c r="G11">
        <v>220000</v>
      </c>
      <c r="H11">
        <v>34000</v>
      </c>
      <c r="I11">
        <v>7200</v>
      </c>
      <c r="J11">
        <v>1680000</v>
      </c>
      <c r="K11" s="1" t="s">
        <v>14</v>
      </c>
      <c r="L11" s="20">
        <f t="shared" si="0"/>
        <v>0.15454545454545454</v>
      </c>
      <c r="M11" s="20">
        <f t="shared" si="1"/>
        <v>0.21176470588235294</v>
      </c>
      <c r="N11" s="21">
        <f t="shared" si="2"/>
        <v>37.333333333333336</v>
      </c>
    </row>
    <row r="12" spans="1:14" x14ac:dyDescent="0.3">
      <c r="A12" s="1" t="s">
        <v>142</v>
      </c>
      <c r="B12" s="1" t="s">
        <v>143</v>
      </c>
      <c r="C12" s="1" t="s">
        <v>131</v>
      </c>
      <c r="D12" s="2">
        <v>45971</v>
      </c>
      <c r="E12" s="2">
        <v>45981</v>
      </c>
      <c r="F12">
        <v>30000</v>
      </c>
      <c r="G12">
        <v>450000</v>
      </c>
      <c r="H12">
        <v>21000</v>
      </c>
      <c r="I12">
        <v>2500</v>
      </c>
      <c r="J12">
        <v>520000</v>
      </c>
      <c r="K12" s="1" t="s">
        <v>14</v>
      </c>
      <c r="L12" s="20">
        <f t="shared" si="0"/>
        <v>4.6666666666666669E-2</v>
      </c>
      <c r="M12" s="20">
        <f t="shared" si="1"/>
        <v>0.11904761904761904</v>
      </c>
      <c r="N12" s="21">
        <f t="shared" si="2"/>
        <v>17.333333333333332</v>
      </c>
    </row>
    <row r="13" spans="1:14" x14ac:dyDescent="0.3">
      <c r="A13" s="1" t="s">
        <v>144</v>
      </c>
      <c r="B13" s="1" t="s">
        <v>145</v>
      </c>
      <c r="C13" s="1" t="s">
        <v>131</v>
      </c>
      <c r="D13" s="2">
        <v>45971</v>
      </c>
      <c r="E13" s="2">
        <v>45981</v>
      </c>
      <c r="F13">
        <v>31500</v>
      </c>
      <c r="G13">
        <v>452000</v>
      </c>
      <c r="H13">
        <v>21500</v>
      </c>
      <c r="I13">
        <v>3200</v>
      </c>
      <c r="J13">
        <v>690000</v>
      </c>
      <c r="K13" s="1" t="s">
        <v>14</v>
      </c>
      <c r="L13" s="20">
        <f t="shared" si="0"/>
        <v>4.7566371681415927E-2</v>
      </c>
      <c r="M13" s="20">
        <f t="shared" si="1"/>
        <v>0.14883720930232558</v>
      </c>
      <c r="N13" s="21">
        <f t="shared" si="2"/>
        <v>21.904761904761905</v>
      </c>
    </row>
    <row r="15" spans="1:14" x14ac:dyDescent="0.3">
      <c r="A15" t="s">
        <v>215</v>
      </c>
    </row>
    <row r="17" spans="1:5" x14ac:dyDescent="0.3">
      <c r="A17" s="23" t="s">
        <v>245</v>
      </c>
      <c r="B17" s="23">
        <v>37</v>
      </c>
    </row>
    <row r="18" spans="1:5" x14ac:dyDescent="0.3">
      <c r="A18" s="23" t="s">
        <v>140</v>
      </c>
      <c r="B18" s="23">
        <v>20</v>
      </c>
    </row>
    <row r="19" spans="1:5" x14ac:dyDescent="0.3">
      <c r="A19" s="23" t="s">
        <v>246</v>
      </c>
      <c r="B19" s="23">
        <v>22</v>
      </c>
    </row>
    <row r="22" spans="1:5" x14ac:dyDescent="0.3">
      <c r="A22" t="s">
        <v>216</v>
      </c>
    </row>
    <row r="24" spans="1:5" x14ac:dyDescent="0.3">
      <c r="A24" t="s">
        <v>217</v>
      </c>
      <c r="B24" t="s">
        <v>214</v>
      </c>
      <c r="C24" t="s">
        <v>218</v>
      </c>
    </row>
    <row r="25" spans="1:5" x14ac:dyDescent="0.3">
      <c r="A25" t="s">
        <v>219</v>
      </c>
      <c r="B25">
        <v>17</v>
      </c>
      <c r="C25" s="22">
        <v>0.12</v>
      </c>
    </row>
    <row r="26" spans="1:5" x14ac:dyDescent="0.3">
      <c r="A26" s="23" t="s">
        <v>220</v>
      </c>
      <c r="B26" s="23">
        <v>22</v>
      </c>
      <c r="C26" s="24">
        <v>0.15</v>
      </c>
    </row>
    <row r="29" spans="1:5" x14ac:dyDescent="0.3">
      <c r="E29" s="22"/>
    </row>
    <row r="30" spans="1:5" x14ac:dyDescent="0.3">
      <c r="E30" s="22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9051FD-417A-40A1-BD08-F4CFC6AD70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sumář</vt:lpstr>
      <vt:lpstr>outlier_analysis</vt:lpstr>
      <vt:lpstr>revenue_time</vt:lpstr>
      <vt:lpstr>revenue_category</vt:lpstr>
      <vt:lpstr>revenue_overview</vt:lpstr>
      <vt:lpstr>sales_data</vt:lpstr>
      <vt:lpstr>marketing_summary</vt:lpstr>
      <vt:lpstr>marketing_data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Papst</dc:creator>
  <cp:lastModifiedBy>František Papst</cp:lastModifiedBy>
  <dcterms:created xsi:type="dcterms:W3CDTF">2026-05-24T08:13:57Z</dcterms:created>
  <dcterms:modified xsi:type="dcterms:W3CDTF">2026-05-24T09:41:39Z</dcterms:modified>
</cp:coreProperties>
</file>