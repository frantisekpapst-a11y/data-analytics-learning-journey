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t\Desktop\"/>
    </mc:Choice>
  </mc:AlternateContent>
  <xr:revisionPtr revIDLastSave="0" documentId="8_{B344A16A-A0ED-4A74-B809-E1D13C2409BE}" xr6:coauthVersionLast="47" xr6:coauthVersionMax="47" xr10:uidLastSave="{00000000-0000-0000-0000-000000000000}"/>
  <bookViews>
    <workbookView xWindow="-108" yWindow="-108" windowWidth="23256" windowHeight="13896" xr2:uid="{C103A2B0-B9E5-4966-BD56-DCA5F19BB404}"/>
  </bookViews>
  <sheets>
    <sheet name="customer_orders_2025_09" sheetId="2" r:id="rId1"/>
    <sheet name="stredni_hodnoty" sheetId="1" r:id="rId2"/>
    <sheet name="distribuce_dat" sheetId="3" r:id="rId3"/>
    <sheet name="variabilita_dat" sheetId="4" r:id="rId4"/>
  </sheets>
  <definedNames>
    <definedName name="_xlchart.v1.0" hidden="1">'customer_orders_2025_09'!$B$1</definedName>
    <definedName name="_xlchart.v1.1" hidden="1">'customer_orders_2025_09'!$B$2:$B$11</definedName>
    <definedName name="ExternalData_1" localSheetId="0" hidden="1">'customer_orders_2025_09'!$A$1:$B$11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4" l="1"/>
  <c r="B3" i="4"/>
  <c r="B2" i="4"/>
  <c r="B1" i="4"/>
  <c r="B3" i="1"/>
  <c r="B2" i="1"/>
  <c r="B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B29EC2-4955-4A65-9F70-CA69E91FA7EC}" keepAlive="1" name="Dotaz – customer_orders_2025_09" description="Připojení k dotazu produktu customer_orders_2025_09 v sešitě" type="5" refreshedVersion="8" background="1" saveData="1">
    <dbPr connection="Provider=Microsoft.Mashup.OleDb.1;Data Source=$Workbook$;Location=customer_orders_2025_09;Extended Properties=&quot;&quot;" command="SELECT * FROM [customer_orders_2025_09]"/>
  </connection>
</connections>
</file>

<file path=xl/sharedStrings.xml><?xml version="1.0" encoding="utf-8"?>
<sst xmlns="http://schemas.openxmlformats.org/spreadsheetml/2006/main" count="16" uniqueCount="16">
  <si>
    <t>customer_id</t>
  </si>
  <si>
    <t>order_value</t>
  </si>
  <si>
    <t>Průměr:</t>
  </si>
  <si>
    <t>Medián:</t>
  </si>
  <si>
    <t>Modus:</t>
  </si>
  <si>
    <t>Který ukazatel nejlépe reprezentuje typickou objednávku?</t>
  </si>
  <si>
    <t>Medián, protože v souboru se vyskytuje extrémní hodnota, která průměr "táhne" doprava.</t>
  </si>
  <si>
    <t>Outliers:</t>
  </si>
  <si>
    <t>Jedná se o pravostranně šikmou (right-skewed) distribuci hodnot, co je dáno jednou extrémní objednávkou ve výši 25 000 Kč.</t>
  </si>
  <si>
    <t>Zákazník 10 a jeho objednávka ve výši 25 000 Kč. Ta "uměle" zvyšuje průměr a distribuci dat posouvá z normálního rozdělení do pravostranně šikmého rozdělení.</t>
  </si>
  <si>
    <t>Variační rozpětí:</t>
  </si>
  <si>
    <t>Rozptyl:</t>
  </si>
  <si>
    <t>Směrodatná odchylka:</t>
  </si>
  <si>
    <t>IQR:</t>
  </si>
  <si>
    <t>Jsou objednávky stabilní, nebo velmi variabilní? A proč?</t>
  </si>
  <si>
    <t>Objednávky jsou velmi vamriabilní, a to především proto, že objednávka 25 000 je výrazný extrém.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</si>
</sst>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č&quot;"/>
  </numFmts>
  <fonts count="2" x14ac:knownFonts="1">
    <font>
      <sz val="11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164" fontId="0" fillId="0" borderId="0" xfId="0" applyNumberFormat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164" fontId="1" fillId="5" borderId="0" xfId="0" applyNumberFormat="1" applyFont="1" applyFill="1" applyAlignment="1">
      <alignment horizontal="left" vertical="center"/>
    </xf>
    <xf numFmtId="164" fontId="1" fillId="6" borderId="0" xfId="0" applyNumberFormat="1" applyFont="1" applyFill="1" applyAlignment="1">
      <alignment horizontal="left" vertical="center"/>
    </xf>
    <xf numFmtId="164" fontId="1" fillId="7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1" fillId="4" borderId="0" xfId="0" applyNumberFormat="1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- objednávky 2025_09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cs-CZ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- objednávky 2025_09</a:t>
          </a:r>
        </a:p>
      </cx:txPr>
    </cx:title>
    <cx:plotArea>
      <cx:plotAreaRegion>
        <cx:series layoutId="clusteredColumn" uniqueId="{473656D2-612A-4B4A-8889-F4F815F20247}">
          <cx:tx>
            <cx:txData>
              <cx:f>_xlchart.v1.0</cx:f>
              <cx:v>order_value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 2">
              <a:extLst>
                <a:ext uri="{FF2B5EF4-FFF2-40B4-BE49-F238E27FC236}">
                  <a16:creationId xmlns:a16="http://schemas.microsoft.com/office/drawing/2014/main" id="{EB4E2039-4389-4680-8FFE-8619A79163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1828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graf není ve vaší verzi aplikace Excel dostupný.
Pokud upravíte tento obrazec nebo tento sešit uložíte v jiném formátu souboru, pak se graf trvale poruší.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5E6A4B-5494-44FE-B1B1-0027F1D3F49C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order_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69A9CB-DFAA-4D67-B9BE-B9ABDE11CE3E}" name="customer_orders_2025_09" displayName="customer_orders_2025_09" ref="A1:B11" tableType="queryTable" totalsRowShown="0">
  <autoFilter ref="A1:B11" xr:uid="{A169A9CB-DFAA-4D67-B9BE-B9ABDE11CE3E}"/>
  <tableColumns count="2">
    <tableColumn id="1" xr3:uid="{1BD308C6-A324-47DA-9C16-30099E8FBD2F}" uniqueName="1" name="customer_id" queryTableFieldId="1"/>
    <tableColumn id="2" xr3:uid="{DE561FE3-84BE-4870-881C-6DEF07F3BB7D}" uniqueName="2" name="order_value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9872-5413-45D6-B4F1-600847690966}">
  <dimension ref="A1:B11"/>
  <sheetViews>
    <sheetView tabSelected="1" zoomScale="130" zoomScaleNormal="130" workbookViewId="0">
      <selection activeCell="C1" sqref="C1"/>
    </sheetView>
  </sheetViews>
  <sheetFormatPr defaultRowHeight="14.4" x14ac:dyDescent="0.3"/>
  <cols>
    <col min="1" max="1" width="13.5546875" bestFit="1" customWidth="1"/>
    <col min="2" max="2" width="12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1200</v>
      </c>
    </row>
    <row r="3" spans="1:2" x14ac:dyDescent="0.3">
      <c r="A3">
        <v>2</v>
      </c>
      <c r="B3">
        <v>1500</v>
      </c>
    </row>
    <row r="4" spans="1:2" x14ac:dyDescent="0.3">
      <c r="A4">
        <v>3</v>
      </c>
      <c r="B4">
        <v>1800</v>
      </c>
    </row>
    <row r="5" spans="1:2" x14ac:dyDescent="0.3">
      <c r="A5">
        <v>4</v>
      </c>
      <c r="B5">
        <v>2000</v>
      </c>
    </row>
    <row r="6" spans="1:2" x14ac:dyDescent="0.3">
      <c r="A6">
        <v>5</v>
      </c>
      <c r="B6">
        <v>2200</v>
      </c>
    </row>
    <row r="7" spans="1:2" x14ac:dyDescent="0.3">
      <c r="A7">
        <v>6</v>
      </c>
      <c r="B7">
        <v>2400</v>
      </c>
    </row>
    <row r="8" spans="1:2" x14ac:dyDescent="0.3">
      <c r="A8">
        <v>7</v>
      </c>
      <c r="B8">
        <v>2600</v>
      </c>
    </row>
    <row r="9" spans="1:2" x14ac:dyDescent="0.3">
      <c r="A9">
        <v>8</v>
      </c>
      <c r="B9">
        <v>3000</v>
      </c>
    </row>
    <row r="10" spans="1:2" x14ac:dyDescent="0.3">
      <c r="A10">
        <v>9</v>
      </c>
      <c r="B10">
        <v>3500</v>
      </c>
    </row>
    <row r="11" spans="1:2" x14ac:dyDescent="0.3">
      <c r="A11">
        <v>10</v>
      </c>
      <c r="B11">
        <v>25000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F4CF-E3C0-4679-B6BA-6C73EDA08D10}">
  <dimension ref="A1:B9"/>
  <sheetViews>
    <sheetView zoomScaleNormal="100" workbookViewId="0">
      <selection activeCell="E3" sqref="E3"/>
    </sheetView>
  </sheetViews>
  <sheetFormatPr defaultRowHeight="18" customHeight="1" x14ac:dyDescent="0.3"/>
  <cols>
    <col min="1" max="1" width="10.77734375" style="2" customWidth="1"/>
    <col min="2" max="2" width="17.44140625" style="6" bestFit="1" customWidth="1"/>
    <col min="3" max="16384" width="8.88671875" style="2"/>
  </cols>
  <sheetData>
    <row r="1" spans="1:2" ht="18" customHeight="1" x14ac:dyDescent="0.3">
      <c r="A1" s="5" t="s">
        <v>2</v>
      </c>
      <c r="B1" s="14">
        <f>AVERAGE(customer_orders_2025_09[order_value])</f>
        <v>4520</v>
      </c>
    </row>
    <row r="2" spans="1:2" ht="18" customHeight="1" x14ac:dyDescent="0.3">
      <c r="A2" s="3" t="s">
        <v>3</v>
      </c>
      <c r="B2" s="13">
        <f>MEDIAN(customer_orders_2025_09[order_value])</f>
        <v>2300</v>
      </c>
    </row>
    <row r="3" spans="1:2" ht="18" customHeight="1" x14ac:dyDescent="0.3">
      <c r="A3" s="4" t="s">
        <v>4</v>
      </c>
      <c r="B3" s="15" t="str">
        <f>IFERROR(_xlfn.MODE.SNGL(customer_orders_2025_09[order_value]),"Neexistuje")</f>
        <v>Neexistuje</v>
      </c>
    </row>
    <row r="5" spans="1:2" ht="18" customHeight="1" x14ac:dyDescent="0.3">
      <c r="A5" s="1" t="s">
        <v>5</v>
      </c>
    </row>
    <row r="6" spans="1:2" ht="18" customHeight="1" x14ac:dyDescent="0.3">
      <c r="A6" s="2" t="s">
        <v>6</v>
      </c>
    </row>
    <row r="8" spans="1:2" ht="18" customHeight="1" x14ac:dyDescent="0.3">
      <c r="A8" s="1" t="s">
        <v>7</v>
      </c>
    </row>
    <row r="9" spans="1:2" ht="18" customHeight="1" x14ac:dyDescent="0.3">
      <c r="A9" s="2" t="s">
        <v>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58D1-6991-494C-B8D6-49147F8B8585}">
  <dimension ref="B18"/>
  <sheetViews>
    <sheetView workbookViewId="0">
      <selection activeCell="B18" sqref="B18"/>
    </sheetView>
  </sheetViews>
  <sheetFormatPr defaultRowHeight="14.4" x14ac:dyDescent="0.3"/>
  <sheetData>
    <row r="18" spans="2:2" ht="15.6" x14ac:dyDescent="0.3">
      <c r="B18" s="1" t="s">
        <v>8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72F2-18B5-45BB-89D2-7C5BD81BF374}">
  <dimension ref="A1:B9"/>
  <sheetViews>
    <sheetView workbookViewId="0"/>
  </sheetViews>
  <sheetFormatPr defaultRowHeight="18" customHeight="1" x14ac:dyDescent="0.3"/>
  <cols>
    <col min="1" max="1" width="23.44140625" style="2" customWidth="1"/>
    <col min="2" max="2" width="17.44140625" style="6" bestFit="1" customWidth="1"/>
    <col min="3" max="16384" width="8.88671875" style="2"/>
  </cols>
  <sheetData>
    <row r="1" spans="1:2" ht="18" customHeight="1" x14ac:dyDescent="0.3">
      <c r="A1" s="7" t="s">
        <v>10</v>
      </c>
      <c r="B1" s="10">
        <f>MAX(customer_orders_2025_09[order_value])-MIN(customer_orders_2025_09[order_value])</f>
        <v>23800</v>
      </c>
    </row>
    <row r="2" spans="1:2" ht="18" customHeight="1" x14ac:dyDescent="0.3">
      <c r="A2" s="8" t="s">
        <v>11</v>
      </c>
      <c r="B2" s="11">
        <f>_xlfn.VAR.S(customer_orders_2025_09[order_value])</f>
        <v>52248444.444444448</v>
      </c>
    </row>
    <row r="3" spans="1:2" ht="18" customHeight="1" x14ac:dyDescent="0.3">
      <c r="A3" s="9" t="s">
        <v>12</v>
      </c>
      <c r="B3" s="12">
        <f>STDEV(customer_orders_2025_09[order_value])</f>
        <v>7228.308546571905</v>
      </c>
    </row>
    <row r="4" spans="1:2" ht="18" customHeight="1" x14ac:dyDescent="0.3">
      <c r="A4" s="3" t="s">
        <v>13</v>
      </c>
      <c r="B4" s="13">
        <f>_xlfn.QUARTILE.INC(customer_orders_2025_09[order_value], 3) - _xlfn.QUARTILE.INC(customer_orders_2025_09[order_value], 1)</f>
        <v>1050</v>
      </c>
    </row>
    <row r="6" spans="1:2" ht="18" customHeight="1" x14ac:dyDescent="0.3">
      <c r="A6" s="1" t="s">
        <v>14</v>
      </c>
    </row>
    <row r="7" spans="1:2" ht="18" customHeight="1" x14ac:dyDescent="0.3">
      <c r="A7" s="2" t="s">
        <v>15</v>
      </c>
    </row>
    <row r="9" spans="1:2" ht="18" customHeight="1" x14ac:dyDescent="0.3">
      <c r="A9" s="1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D5C08B-812C-4651-A8DA-A47E400596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customer_orders_2025_09</vt:lpstr>
      <vt:lpstr>stredni_hodnoty</vt:lpstr>
      <vt:lpstr>distribuce_dat</vt:lpstr>
      <vt:lpstr>variabilita_dat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František Papst</dc:creator>
  <cp:lastModifiedBy>František Papst</cp:lastModifiedBy>
  <dcterms:created xsi:type="dcterms:W3CDTF">2026-05-22T16:01:08Z</dcterms:created>
  <dcterms:modified xsi:type="dcterms:W3CDTF">2026-05-22T16:38:20Z</dcterms:modified>
</cp:coreProperties>
</file>